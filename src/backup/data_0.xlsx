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5C0303"/>
      <b val="true"/>
    </font>
    <font>
      <name val="Arial"/>
      <charset val="1"/>
      <family val="2"/>
      <sz val="10"/>
      <color rgb="FF4D4DA7"/>
      <u val="singl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7"/>
    <col collapsed="false" hidden="false" max="2" min="2" style="0" customWidth="true" width="30"/>
    <col collapsed="false" hidden="false" max="3" min="3" style="0" customWidth="true" width="70"/>
    <col collapsed="false" hidden="false" max="4" min="4" style="0" customWidth="true" width="15"/>
    <col collapsed="false" hidden="false" max="5" min="5" style="0" customWidth="true" width="40"/>
    <col collapsed="false" hidden="false" max="6" min="6" style="0" customWidth="true" width="15"/>
    <col collapsed="false" hidden="false" max="7" min="7" style="0" customWidth="true" width="17"/>
    <col collapsed="false" hidden="false" max="8" min="8" style="0" customWidth="true" width="17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80"/>
    <col collapsed="false" hidden="false" max="12" min="12" style="0" customWidth="true" width="15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024" min="16" style="0" customWidth="false" width="11.5"/>
  </cols>
  <sheetData>
    <row collapsed="false" customFormat="false" customHeight="false" hidden="false" ht="12.1" outlineLevel="0" r="1">
      <c r="A1" s="3" t="inlineStr">
        <is>
          <t>Ссылка на www.list-org.com</t>
        </is>
      </c>
      <c r="B1" s="3" t="inlineStr">
        <is>
          <t>Наименование</t>
        </is>
      </c>
      <c r="C1" s="3" t="inlineStr">
        <is>
          <t>Юридическое наименование</t>
        </is>
      </c>
      <c r="D1" s="3" t="inlineStr">
        <is>
          <t>Статус</t>
        </is>
      </c>
      <c r="E1" s="3" t="inlineStr">
        <is>
          <t>Руководитель</t>
        </is>
      </c>
      <c r="F1" s="3" t="inlineStr">
        <is>
          <t>ИНН</t>
        </is>
      </c>
      <c r="G1" s="3" t="inlineStr">
        <is>
          <t>ОГРН</t>
        </is>
      </c>
      <c r="H1" s="3" t="inlineStr">
        <is>
          <t>Телефон (один из)</t>
        </is>
      </c>
      <c r="I1" s="3" t="inlineStr">
        <is>
          <t>E-mail</t>
        </is>
      </c>
      <c r="J1" s="3" t="inlineStr">
        <is>
          <t>Сайт</t>
        </is>
      </c>
      <c r="K1" s="3" t="inlineStr">
        <is>
          <t>Юридический адрес</t>
        </is>
      </c>
      <c r="L1" s="3" t="inlineStr">
        <is>
          <t>Сотрудников</t>
        </is>
      </c>
      <c r="M1" s="3" t="inlineStr">
        <is>
          <t>Выручка (Ф2.2110)</t>
        </is>
      </c>
      <c r="N1" s="3" t="inlineStr">
        <is>
          <t>Прибыль (Ф2.2400)</t>
        </is>
      </c>
      <c r="O1" s="3" t="inlineStr">
        <is>
          <t>Стоимость (Ф1.1300)</t>
        </is>
      </c>
      <c r="P1" s="3" t="inlineStr">
        <is>
          <t>Описание</t>
        </is>
      </c>
      <c r="Q1" s="3" t="inlineStr">
        <is>
          <t>В избранном</t>
        </is>
      </c>
    </row>
    <row collapsed="false" customFormat="false" customHeight="false" hidden="false" ht="12.1" outlineLevel="0" r="2">
      <c r="A2" s="4" t="s">
        <f>HYPERLINK("https://www.list-org.com/company/13269938","https://www.list-org.com/company/13269938")</f>
      </c>
      <c r="B2" s="5" t="inlineStr">
        <is>
          <t>ООО "ГК "ИННОТЕХ"</t>
        </is>
      </c>
      <c r="C2" s="5" t="inlineStr">
        <is>
          <t>ОБЩЕСТВО С ОГРАНИЧЕННОЙ ОТВЕТСТВЕННОСТЬЮ "ГРУППА КОМПАНИЙ "ИННОТЕХ"</t>
        </is>
      </c>
      <c r="D2" s="5" t="inlineStr">
        <is>
          <t>действующее</t>
        </is>
      </c>
      <c r="E2" s="5" t="inlineStr">
        <is>
          <t>ХАРИТОНОВ ДМИТРИЙ СЕРГЕЕВИЧ</t>
        </is>
      </c>
      <c r="F2" s="5" t="inlineStr">
        <is>
          <t>9703073496</t>
        </is>
      </c>
      <c r="G2" s="5" t="inlineStr">
        <is>
          <t>1227700086460</t>
        </is>
      </c>
      <c r="H2" s="5"/>
      <c r="I2" s="5" t="inlineStr">
        <is>
          <t>info@inno.tech</t>
        </is>
      </c>
      <c r="J2" s="5"/>
      <c r="K2" s="5" t="inlineStr">
        <is>
          <t>125167, Г.Москва, ВНУТРИГОРОДСКАЯ ТЕРРИТОРИЯ ГОРОДА ФЕДЕРАЛЬНОГО ЗНАЧЕНИЯ МУНИЦИПАЛЬНЫЙ ОКРУГ АЭРОПОРТ, ПР-КТ ЛЕНИНГРАДСКИЙ, Д. 36, ПОМЕЩ. 23</t>
        </is>
      </c>
      <c r="L2" s="6" t="n">
        <v>9030</v>
      </c>
      <c r="M2" s="6" t="n">
        <v>119697000</v>
      </c>
      <c r="N2" s="6" t="n">
        <v>54273200</v>
      </c>
      <c r="O2" s="6" t="n">
        <v>164793000</v>
      </c>
      <c r="P2" s="5"/>
      <c r="Q2" s="5"/>
    </row>
    <row collapsed="false" customFormat="false" customHeight="false" hidden="false" ht="12.1" outlineLevel="0" r="3">
      <c r="A3" s="4" t="s">
        <f>HYPERLINK("https://www.list-org.com/company/7667703","https://www.list-org.com/company/7667703")</f>
      </c>
      <c r="B3" s="5" t="inlineStr">
        <is>
          <t>ООО "СБЕРБАНК-СЕРВИС"</t>
        </is>
      </c>
      <c r="C3" s="5" t="inlineStr">
        <is>
          <t>ОБЩЕСТВО С ОГРАНИЧЕННОЙ ОТВЕТСТВЕННОСТЬЮ "СБЕРБАНК-СЕРВИС"</t>
        </is>
      </c>
      <c r="D3" s="5" t="inlineStr">
        <is>
          <t>действующее</t>
        </is>
      </c>
      <c r="E3" s="5" t="inlineStr">
        <is>
          <t>ЕВТУШЕНКО АЛЕКСЕЙ ЮРЬЕВИЧ</t>
        </is>
      </c>
      <c r="F3" s="5" t="inlineStr">
        <is>
          <t>7736663049</t>
        </is>
      </c>
      <c r="G3" s="5" t="inlineStr">
        <is>
          <t>1137746703709</t>
        </is>
      </c>
      <c r="H3" s="5" t="inlineStr">
        <is>
          <t>+7 (919) 778-07-94</t>
        </is>
      </c>
      <c r="I3" s="5" t="inlineStr">
        <is>
          <t>dvischenko@sberbank.ru, dvishenko@sberbank.ru, hr.sbsrv@sberbank.ru, lvpogodina@sberbalk.ru, official@sber-service.ru, volochaevpo@sber-service.ru</t>
        </is>
      </c>
      <c r="J3" s="5"/>
      <c r="K3" s="5" t="inlineStr">
        <is>
          <t>127018, Г.МОСКВА, МУНИЦИПАЛЬНЫЙ ОКРУГ МАРЬИНА РОЩА, УЛ ДВИНЦЕВ, Д. 12, К. 1, ПОМЕЩ. 1/1</t>
        </is>
      </c>
      <c r="L3" s="6" t="n">
        <v>7133</v>
      </c>
      <c r="M3" s="6" t="n">
        <v>16106400</v>
      </c>
      <c r="N3" s="6" t="n">
        <v>432517</v>
      </c>
      <c r="O3" s="6" t="n">
        <v>1299480</v>
      </c>
      <c r="P3" s="5"/>
      <c r="Q3" s="5"/>
    </row>
    <row collapsed="false" customFormat="false" customHeight="false" hidden="false" ht="12.1" outlineLevel="0" r="4">
      <c r="A4" s="4" t="s">
        <f>HYPERLINK("https://www.list-org.com/company/4492","https://www.list-org.com/company/4492")</f>
      </c>
      <c r="B4" s="5" t="inlineStr">
        <is>
          <t>ООО "ИНФОРМ"</t>
        </is>
      </c>
      <c r="C4" s="5" t="inlineStr">
        <is>
          <t>ОБЩЕСТВО С ОГРАНИЧЕННОЙ ОТВЕТСТВЕННОСТЬЮ "ИНФОРМ"</t>
        </is>
      </c>
      <c r="D4" s="5" t="inlineStr">
        <is>
          <t>действующее</t>
        </is>
      </c>
      <c r="E4" s="5" t="inlineStr">
        <is>
          <t>ЛЕГКОВ АЛЕКСЕЙ АЛЕКСАНДРОВИЧ</t>
        </is>
      </c>
      <c r="F4" s="5" t="inlineStr">
        <is>
          <t>7705514400</t>
        </is>
      </c>
      <c r="G4" s="5" t="inlineStr">
        <is>
          <t>1057705049797</t>
        </is>
      </c>
      <c r="H4" s="5" t="inlineStr">
        <is>
          <t>+7 (495) 927-48-98</t>
        </is>
      </c>
      <c r="I4" s="5" t="inlineStr">
        <is>
          <t>marina.zhavoronkova@lukoil.com, natalia.ovchinnikova@lukoil.com</t>
        </is>
      </c>
      <c r="J4" s="5" t="inlineStr">
        <is>
          <t>www.lukoil-inform.ru</t>
        </is>
      </c>
      <c r="K4" s="5" t="inlineStr">
        <is>
          <t>115093, Г.Москва, ВНУТРИГОРОДСКАЯ ТЕРРИТОРИЯ ГОРОДА ФЕДЕРАЛЬНОГО ЗНАЧЕНИЯ МУНИЦИПАЛЬНЫЙ ОКРУГ ЗАМОСКВОРЕЧЬЕ, УЛ ЛЮСИНОВСКАЯ, Д. 36</t>
        </is>
      </c>
      <c r="L4" s="6" t="n">
        <v>6921</v>
      </c>
      <c r="M4" s="6" t="n">
        <v>4604730</v>
      </c>
      <c r="N4" s="6" t="n">
        <v>570707</v>
      </c>
      <c r="O4" s="6" t="n">
        <v>2202080</v>
      </c>
      <c r="P4" s="5"/>
      <c r="Q4" s="5"/>
    </row>
    <row collapsed="false" customFormat="false" customHeight="false" hidden="false" ht="12.1" outlineLevel="0" r="5">
      <c r="A5" s="4" t="s">
        <f>HYPERLINK("https://www.list-org.com/company/5864572","https://www.list-org.com/company/5864572")</f>
      </c>
      <c r="B5" s="5" t="inlineStr">
        <is>
          <t>АО "ГРИНАТОМ"</t>
        </is>
      </c>
      <c r="C5" s="5" t="inlineStr">
        <is>
          <t>АКЦИОНЕРНОЕ ОБЩЕСТВО "ГРИНАТОМ"</t>
        </is>
      </c>
      <c r="D5" s="5" t="inlineStr">
        <is>
          <t>действующее</t>
        </is>
      </c>
      <c r="E5" s="5" t="inlineStr">
        <is>
          <t>ЛАВРОВ АНДРЕЙ СТАНИСЛАВОВИЧ</t>
        </is>
      </c>
      <c r="F5" s="5" t="inlineStr">
        <is>
          <t>7706729736</t>
        </is>
      </c>
      <c r="G5" s="5" t="inlineStr">
        <is>
          <t>1097746819720</t>
        </is>
      </c>
      <c r="H5" s="5" t="inlineStr">
        <is>
          <t>+7 (495) 239-45-45</t>
        </is>
      </c>
      <c r="I5" s="5" t="inlineStr">
        <is>
          <t>myermolaev@greenatom.ru, tavsukhanova@greenatom.ru, nbarbekova@greenatom.ru</t>
        </is>
      </c>
      <c r="J5" s="5" t="inlineStr">
        <is>
          <t>http://greenatom.ru</t>
        </is>
      </c>
      <c r="K5" s="5" t="inlineStr">
        <is>
          <t>119017, МОСКВА ГОРОД, УЛ. БОЛЬШАЯ ОРДЫНКА, Д.24</t>
        </is>
      </c>
      <c r="L5" s="6" t="n">
        <v>6702</v>
      </c>
      <c r="M5" s="6" t="n">
        <v>30036700</v>
      </c>
      <c r="N5" s="6" t="n">
        <v>906270</v>
      </c>
      <c r="O5" s="6" t="n">
        <v>10224100</v>
      </c>
      <c r="P5" s="5"/>
      <c r="Q5" s="5"/>
    </row>
    <row collapsed="false" customFormat="false" customHeight="false" hidden="false" ht="12.1" outlineLevel="0" r="6">
      <c r="A6" s="4" t="s">
        <f>HYPERLINK("https://www.list-org.com/company/12288652","https://www.list-org.com/company/12288652")</f>
      </c>
      <c r="B6" s="5" t="inlineStr">
        <is>
          <t>ООО "ОЗОН ТЕХНОЛОГИИ"</t>
        </is>
      </c>
      <c r="C6" s="5" t="inlineStr">
        <is>
          <t>ОБЩЕСТВО С ОГРАНИЧЕННОЙ ОТВЕТСТВЕННОСТЬЮ "ОЗОН ТЕХНОЛОГИИ"</t>
        </is>
      </c>
      <c r="D6" s="5" t="inlineStr">
        <is>
          <t>действующее</t>
        </is>
      </c>
      <c r="E6" s="5" t="inlineStr">
        <is>
          <t>ДЬЯЧЕНКО ВАЛЕРИЙ ВАЛЕРЬЕВИЧ</t>
        </is>
      </c>
      <c r="F6" s="5" t="inlineStr">
        <is>
          <t>7703475603</t>
        </is>
      </c>
      <c r="G6" s="5" t="inlineStr">
        <is>
          <t>1197746313940</t>
        </is>
      </c>
      <c r="H6" s="5"/>
      <c r="I6" s="5" t="inlineStr">
        <is>
          <t>ekurlovich@ozon.ru, emotorina@ozon.ru, ext-ili@ozon.ru, ifedchenko@ozon.ru, ili@ozon.ru</t>
        </is>
      </c>
      <c r="J6" s="5"/>
      <c r="K6" s="5" t="inlineStr">
        <is>
          <t>123112, Г.МОСКВА, НАБ. ПРЕСНЕНСКАЯ, Д. 10, ПОМЕЩ. I, ЭТАЖ 41, КОМН. 7</t>
        </is>
      </c>
      <c r="L6" s="6" t="n">
        <v>5994</v>
      </c>
      <c r="M6" s="6" t="n">
        <v>27137500</v>
      </c>
      <c r="N6" s="6" t="n">
        <v>471515</v>
      </c>
      <c r="O6" s="6" t="n">
        <v>1102490</v>
      </c>
      <c r="P6" s="5"/>
      <c r="Q6" s="5"/>
    </row>
    <row collapsed="false" customFormat="false" customHeight="false" hidden="false" ht="12.1" outlineLevel="0" r="7">
      <c r="A7" s="4" t="s">
        <f>HYPERLINK("https://www.list-org.com/company/158970","https://www.list-org.com/company/158970")</f>
      </c>
      <c r="B7" s="5" t="inlineStr">
        <is>
          <t>ООО "КОМПАНИЯ "ТЕНЗОР"</t>
        </is>
      </c>
      <c r="C7" s="5" t="inlineStr">
        <is>
          <t>ОБЩЕСТВО С ОГРАНИЧЕННОЙ ОТВЕТСТВЕННОСТЬЮ  "КОМПАНИЯ "ТЕНЗОР"</t>
        </is>
      </c>
      <c r="D7" s="5" t="inlineStr">
        <is>
          <t>действующее</t>
        </is>
      </c>
      <c r="E7" s="5" t="inlineStr">
        <is>
          <t>УВАРОВ СЕРГЕЙ ВАСИЛЬЕВИЧ</t>
        </is>
      </c>
      <c r="F7" s="5" t="inlineStr">
        <is>
          <t>7605016030</t>
        </is>
      </c>
      <c r="G7" s="5" t="inlineStr">
        <is>
          <t>1027600787994</t>
        </is>
      </c>
      <c r="H7" s="5" t="inlineStr">
        <is>
          <t>+7 (4852) 45-14-13</t>
        </is>
      </c>
      <c r="I7" s="5" t="inlineStr">
        <is>
          <t>uvarov@tensor.ru, tensor@tensor.ru, lenok@tensor.ru</t>
        </is>
      </c>
      <c r="J7" s="5" t="inlineStr">
        <is>
          <t>yaroslavl.gidro-sistema.ru</t>
        </is>
      </c>
      <c r="K7" s="5" t="inlineStr">
        <is>
          <t>150001, ЯРОСЛАВСКАЯ ОБЛАСТЬ, Г. ЯРОСЛАВЛЬ, ПР-КТ МОСКОВСКИЙ, Д.12</t>
        </is>
      </c>
      <c r="L7" s="6" t="n">
        <v>5972</v>
      </c>
      <c r="M7" s="6" t="n">
        <v>17469300</v>
      </c>
      <c r="N7" s="6" t="n">
        <v>1426000</v>
      </c>
      <c r="O7" s="6" t="n">
        <v>4642300</v>
      </c>
      <c r="P7" s="5"/>
      <c r="Q7" s="5"/>
    </row>
    <row collapsed="false" customFormat="false" customHeight="false" hidden="false" ht="12.1" outlineLevel="0" r="8">
      <c r="A8" s="4" t="s">
        <f>HYPERLINK("https://www.list-org.com/company/6981662","https://www.list-org.com/company/6981662")</f>
      </c>
      <c r="B8" s="5" t="inlineStr">
        <is>
          <t>ООО "МВС"</t>
        </is>
      </c>
      <c r="C8" s="5" t="inlineStr">
        <is>
          <t>ОБЩЕСТВО С ОГРАНИЧЕННОЙ ОТВЕТСТВЕННОСТЬЮ "МТС ВЕБ СЕРВИСЫ"</t>
        </is>
      </c>
      <c r="D8" s="5" t="inlineStr">
        <is>
          <t>действующее</t>
        </is>
      </c>
      <c r="E8" s="5" t="inlineStr">
        <is>
          <t>ВОРОНИН ПАВЕЛ АЛЕКСЕЕВИЧ</t>
        </is>
      </c>
      <c r="F8" s="5" t="inlineStr">
        <is>
          <t>7707767501</t>
        </is>
      </c>
      <c r="G8" s="5" t="inlineStr">
        <is>
          <t>1127746007630</t>
        </is>
      </c>
      <c r="H8" s="5" t="inlineStr">
        <is>
          <t>+7 (495) 921-48-81</t>
        </is>
      </c>
      <c r="I8" s="5"/>
      <c r="J8" s="5"/>
      <c r="K8" s="5" t="inlineStr">
        <is>
          <t>115432, Г.Москва, ВНУТРИГОРОДСКАЯ ТЕРРИТОРИЯ ГОРОДА ФЕДЕРАЛЬНОГО ЗНАЧЕНИЯ МУНИЦИПАЛЬНЫЙ ОКРУГ ДАНИЛОВСКИЙ, ПР-КТ АНДРОПОВА, Д. 18, ЭТАЖ 16, ПОМЕЩ. 35</t>
        </is>
      </c>
      <c r="L8" s="6" t="n">
        <v>5670</v>
      </c>
      <c r="M8" s="6" t="n">
        <v>51373400</v>
      </c>
      <c r="N8" s="6" t="n">
        <v>8528700</v>
      </c>
      <c r="O8" s="6" t="n">
        <v>15474200</v>
      </c>
      <c r="P8" s="5"/>
      <c r="Q8" s="5"/>
    </row>
    <row collapsed="false" customFormat="false" customHeight="false" hidden="false" ht="12.1" outlineLevel="0" r="9">
      <c r="A9" s="4" t="s">
        <f>HYPERLINK("https://www.list-org.com/company/6159646","https://www.list-org.com/company/6159646")</f>
      </c>
      <c r="B9" s="5" t="inlineStr">
        <is>
          <t>ООО "НОРНИКЕЛЬ СПУТНИК"</t>
        </is>
      </c>
      <c r="C9" s="5" t="inlineStr">
        <is>
          <t>ОБЩЕСТВО С ОГРАНИЧЕННОЙ ОТВЕТСТВЕННОСТЬЮ "НОРНИКЕЛЬ СПУТНИК"</t>
        </is>
      </c>
      <c r="D9" s="5" t="inlineStr">
        <is>
          <t>действующее</t>
        </is>
      </c>
      <c r="E9" s="5" t="inlineStr">
        <is>
          <t>ЛОПАЦИНСКИЙ АНТОН МИХАЙЛОВИЧ</t>
        </is>
      </c>
      <c r="F9" s="5" t="inlineStr">
        <is>
          <t>7743773042</t>
        </is>
      </c>
      <c r="G9" s="5" t="inlineStr">
        <is>
          <t>1107746199043</t>
        </is>
      </c>
      <c r="H9" s="5" t="inlineStr">
        <is>
          <t>+7 (495) 787-04-58</t>
        </is>
      </c>
      <c r="I9" s="5" t="inlineStr">
        <is>
          <t>nnsputnik@nornik.ru, legal_service_ns@nornik.ru, zubovava@nornik.ru</t>
        </is>
      </c>
      <c r="J9" s="5"/>
      <c r="K9" s="5" t="inlineStr">
        <is>
          <t>125130, МОСКВА ГОРОД, ПР-Д СТАРОПЕТРОВСКИЙ, Д. 11, К. 2, КОМ. 511</t>
        </is>
      </c>
      <c r="L9" s="6" t="n">
        <v>5136</v>
      </c>
      <c r="M9" s="6" t="n">
        <v>21964700</v>
      </c>
      <c r="N9" s="6" t="n">
        <v>1228670</v>
      </c>
      <c r="O9" s="6" t="n">
        <v>2556460</v>
      </c>
      <c r="P9" s="5"/>
      <c r="Q9" s="5"/>
    </row>
    <row collapsed="false" customFormat="false" customHeight="false" hidden="false" ht="12.1" outlineLevel="0" r="10">
      <c r="A10" s="4" t="s">
        <f>HYPERLINK("https://www.list-org.com/company/5201261","https://www.list-org.com/company/5201261")</f>
      </c>
      <c r="B10" s="5" t="inlineStr">
        <is>
          <t>ООО "ГАЗПРОМНЕФТЬ-ЦР"</t>
        </is>
      </c>
      <c r="C10" s="5" t="inlineStr">
        <is>
          <t>ОБЩЕСТВО С ОГРАНИЧЕННОЙ ОТВЕТСТВЕННОСТЬЮ "ГАЗПРОМНЕФТЬ-ЦИФРОВЫЕ РЕШЕНИЯ"</t>
        </is>
      </c>
      <c r="D10" s="5" t="inlineStr">
        <is>
          <t>действующее</t>
        </is>
      </c>
      <c r="E10" s="5" t="inlineStr">
        <is>
          <t>КУШВИД ВЛАДИМИР АЛЕКСАНДРОВИЧ</t>
        </is>
      </c>
      <c r="F10" s="5" t="inlineStr">
        <is>
          <t>7728654530</t>
        </is>
      </c>
      <c r="G10" s="5" t="inlineStr">
        <is>
          <t>1087746449812</t>
        </is>
      </c>
      <c r="H10" s="5" t="inlineStr">
        <is>
          <t>+7 (495) 514-03-68</t>
        </is>
      </c>
      <c r="I10" s="5" t="inlineStr">
        <is>
          <t>ds-info@gazprom-neft.ru</t>
        </is>
      </c>
      <c r="J10" s="5" t="inlineStr">
        <is>
          <t>http://it-sk.ru</t>
        </is>
      </c>
      <c r="K10" s="5" t="inlineStr">
        <is>
          <t>196084, Г.САНКТ-ПЕТЕРБУРГ, УЛ. КИЕВСКАЯ, Д. 5, К. 4, ЧПОМ 64-Н ПОМ 1 ОФИС 5502</t>
        </is>
      </c>
      <c r="L10" s="6" t="n">
        <v>4889</v>
      </c>
      <c r="M10" s="6" t="n">
        <v>22173600</v>
      </c>
      <c r="N10" s="6" t="n">
        <v>2272060</v>
      </c>
      <c r="O10" s="6" t="n">
        <v>2929730</v>
      </c>
      <c r="P10" s="5"/>
      <c r="Q10" s="5"/>
    </row>
    <row collapsed="false" customFormat="false" customHeight="false" hidden="false" ht="12.1" outlineLevel="0" r="11">
      <c r="A11" s="4" t="s">
        <f>HYPERLINK("https://www.list-org.com/company/12094561","https://www.list-org.com/company/12094561")</f>
      </c>
      <c r="B11" s="5" t="inlineStr">
        <is>
          <t>ООО "ИТ ИКС 5 ТЕХНОЛОГИИ"</t>
        </is>
      </c>
      <c r="C11" s="5" t="inlineStr">
        <is>
          <t>ОБЩЕСТВО С ОГРАНИЧЕННОЙ ОТВЕТСТВЕННОСТЬЮ "ИТ ИКС 5 ТЕХНОЛОГИИ"</t>
        </is>
      </c>
      <c r="D11" s="5" t="inlineStr">
        <is>
          <t>действующее</t>
        </is>
      </c>
      <c r="E11" s="5" t="inlineStr">
        <is>
          <t>ГАВРИЛОВ ОЛЕГ МИХАЙЛОВИЧ</t>
        </is>
      </c>
      <c r="F11" s="5" t="inlineStr">
        <is>
          <t>1615014289</t>
        </is>
      </c>
      <c r="G11" s="5" t="inlineStr">
        <is>
          <t>1181690101911</t>
        </is>
      </c>
      <c r="H11" s="5"/>
      <c r="I11" s="5"/>
      <c r="J11" s="5"/>
      <c r="K11" s="5" t="inlineStr">
        <is>
          <t>420500, РЕСПУБЛИКА ТАТАРСТАН (ТАТАРСТАН), ВЕРХНЕУСЛОНСКИЙ Р-Н, Г. ИННОПОЛИС, УЛ. УНИВЕРСИТЕТСКАЯ, Д. 7, ОФИС 403</t>
        </is>
      </c>
      <c r="L11" s="6" t="n">
        <v>4481</v>
      </c>
      <c r="M11" s="6" t="n">
        <v>30549600</v>
      </c>
      <c r="N11" s="6" t="n">
        <v>202383</v>
      </c>
      <c r="O11" s="6" t="n">
        <v>-684698</v>
      </c>
      <c r="P11" s="5"/>
      <c r="Q11" s="5"/>
    </row>
    <row collapsed="false" customFormat="false" customHeight="false" hidden="false" ht="12.1" outlineLevel="0" r="12">
      <c r="A12" s="4" t="s">
        <f>HYPERLINK("https://www.list-org.com/company/9354236","https://www.list-org.com/company/9354236")</f>
      </c>
      <c r="B12" s="5" t="inlineStr">
        <is>
          <t>ООО "ТЦР"</t>
        </is>
      </c>
      <c r="C12" s="5" t="inlineStr">
        <is>
          <t>ОБЩЕСТВО С ОГРАНИЧЕННОЙ ОТВЕТСТВЕННОСТЬЮ "ТЦР"</t>
        </is>
      </c>
      <c r="D12" s="5" t="inlineStr">
        <is>
          <t>действующее</t>
        </is>
      </c>
      <c r="E12" s="5" t="inlineStr">
        <is>
          <t>ИСАКОВ АЛЕКСЕЙ ВАДИМОВИЧ</t>
        </is>
      </c>
      <c r="F12" s="5" t="inlineStr">
        <is>
          <t>7743180892</t>
        </is>
      </c>
      <c r="G12" s="5" t="inlineStr">
        <is>
          <t>5167746308549</t>
        </is>
      </c>
      <c r="H12" s="5"/>
      <c r="I12" s="5" t="inlineStr">
        <is>
          <t>n.lysenko@tinkoff.ru, t.a.grigoryeva@tinkoff.ru, t.gorskay@tinkoff.ru, t.gorskaya@tinkoff.ru, t.brazhaeva@tinkoff.ru</t>
        </is>
      </c>
      <c r="J12" s="5"/>
      <c r="K12" s="5" t="inlineStr">
        <is>
          <t>127287, Г.МОСКВА, МУНИЦИПАЛЬНЫЙ ОКРУГ САВЕЛОВСКИЙ, УЛ ХУТОРСКАЯ 2-Я, Д. 38А,СТР. 26, СТР. 26, КОМ. 10</t>
        </is>
      </c>
      <c r="L12" s="6" t="n">
        <v>3693</v>
      </c>
      <c r="M12" s="6" t="n">
        <v>32927100</v>
      </c>
      <c r="N12" s="6" t="n">
        <v>3971800</v>
      </c>
      <c r="O12" s="6" t="n">
        <v>5951290</v>
      </c>
      <c r="P12" s="5"/>
      <c r="Q12" s="5"/>
    </row>
    <row collapsed="false" customFormat="false" customHeight="false" hidden="false" ht="12.1" outlineLevel="0" r="13">
      <c r="A13" s="4" t="s">
        <f>HYPERLINK("https://www.list-org.com/company/7815701","https://www.list-org.com/company/7815701")</f>
      </c>
      <c r="B13" s="5" t="inlineStr">
        <is>
          <t>ООО "ИТМ"</t>
        </is>
      </c>
      <c r="C13" s="5" t="inlineStr">
        <is>
          <t>ОБЩЕСТВО С ОГРАНИЧЕННОЙ ОТВЕТСТВЕННОСТЬЮ "ИТМ"</t>
        </is>
      </c>
      <c r="D13" s="5" t="inlineStr">
        <is>
          <t>действующее</t>
        </is>
      </c>
      <c r="E13" s="5" t="inlineStr">
        <is>
          <t>МЕДВЕДЕВА КСЕНИЯ ВЛАДИМИРОВНА</t>
        </is>
      </c>
      <c r="F13" s="5" t="inlineStr">
        <is>
          <t>2311168514</t>
        </is>
      </c>
      <c r="G13" s="5" t="inlineStr">
        <is>
          <t>1142311001744</t>
        </is>
      </c>
      <c r="H13" s="5" t="inlineStr">
        <is>
          <t>+7 (861) 298-34-22</t>
        </is>
      </c>
      <c r="I13" s="5" t="inlineStr">
        <is>
          <t>support@itmtec.ru, grodzickaya_as@magnit.ru, sib_edo@magnit.ru</t>
        </is>
      </c>
      <c r="J13" s="5"/>
      <c r="K13" s="5" t="inlineStr">
        <is>
          <t>350072, КРАСНОДАРСКИЙ КРАЙ, Г. КРАСНОДАР, УЛ. СОЛНЕЧНАЯ, ДОМ 15/5</t>
        </is>
      </c>
      <c r="L13" s="6" t="n">
        <v>3675</v>
      </c>
      <c r="M13" s="6" t="n">
        <v>14703500</v>
      </c>
      <c r="N13" s="6" t="n">
        <v>1911170</v>
      </c>
      <c r="O13" s="6" t="n">
        <v>1303830</v>
      </c>
      <c r="P13" s="5"/>
      <c r="Q13" s="5"/>
    </row>
    <row collapsed="false" customFormat="false" customHeight="false" hidden="false" ht="12.1" outlineLevel="0" r="14">
      <c r="A14" s="4" t="s">
        <f>HYPERLINK("https://www.list-org.com/company/3188950","https://www.list-org.com/company/3188950")</f>
      </c>
      <c r="B14" s="5" t="inlineStr">
        <is>
          <t>ООО "РНТ"</t>
        </is>
      </c>
      <c r="C14" s="5" t="inlineStr">
        <is>
          <t>ОБЩЕСТВО С ОГРАНИЧЕННОЙ ОТВЕТСТВЕННОСТЬЮ "РНТ"</t>
        </is>
      </c>
      <c r="D14" s="5" t="inlineStr">
        <is>
          <t>действующее</t>
        </is>
      </c>
      <c r="E14" s="5" t="inlineStr">
        <is>
          <t>ГРАЧЕВ ЕВГЕНИЙ СЕРГЕЕВИЧ</t>
        </is>
      </c>
      <c r="F14" s="5" t="inlineStr">
        <is>
          <t>7719232155</t>
        </is>
      </c>
      <c r="G14" s="5" t="inlineStr">
        <is>
          <t>1037739707147</t>
        </is>
      </c>
      <c r="H14" s="5" t="inlineStr">
        <is>
          <t>+7 (495) 730-63-62</t>
        </is>
      </c>
      <c r="I14" s="5"/>
      <c r="J14" s="5" t="inlineStr">
        <is>
          <t>www.epam-group.ru</t>
        </is>
      </c>
      <c r="K14" s="5" t="inlineStr">
        <is>
          <t>127006, Г.Москва, ВНУТРИГОРОДСКАЯ ТЕРРИТОРИЯ ГОРОДА ФЕДЕРАЛЬНОГО ЗНАЧЕНИЯ МУНИЦИПАЛЬНЫЙ ОКРУГ ТВЕРСКОЙ, УЛ ТВЕРСКАЯ, Д. 18, ПОМЕЩ. 1/1</t>
        </is>
      </c>
      <c r="L14" s="6" t="n">
        <v>3564</v>
      </c>
      <c r="M14" s="6" t="n">
        <v>2673200</v>
      </c>
      <c r="N14" s="6" t="n">
        <v>227246</v>
      </c>
      <c r="O14" s="6" t="n">
        <v>2946570</v>
      </c>
      <c r="P14" s="5"/>
      <c r="Q14" s="5"/>
    </row>
    <row collapsed="false" customFormat="false" customHeight="false" hidden="false" ht="12.1" outlineLevel="0" r="15">
      <c r="A15" s="4" t="s">
        <f>HYPERLINK("https://www.list-org.com/company/12875512","https://www.list-org.com/company/12875512")</f>
      </c>
      <c r="B15" s="5" t="inlineStr">
        <is>
          <t>ООО "ПОЧТА СЕРВИС"</t>
        </is>
      </c>
      <c r="C15" s="5" t="inlineStr">
        <is>
          <t>ОБЩЕСТВО С ОГРАНИЧЕННОЙ ОТВЕТСТВЕННОСТЬЮ "ПОЧТА СЕРВИС"</t>
        </is>
      </c>
      <c r="D15" s="5" t="inlineStr">
        <is>
          <t>действующее</t>
        </is>
      </c>
      <c r="E15" s="5" t="inlineStr">
        <is>
          <t>НИКОЛАЕВ СЕРГЕЙ ВИТАЛЬЕВИЧ</t>
        </is>
      </c>
      <c r="F15" s="5" t="inlineStr">
        <is>
          <t>9729304853</t>
        </is>
      </c>
      <c r="G15" s="5" t="inlineStr">
        <is>
          <t>1217700051205</t>
        </is>
      </c>
      <c r="H15" s="5"/>
      <c r="I15" s="5"/>
      <c r="J15" s="5"/>
      <c r="K15" s="5" t="inlineStr">
        <is>
          <t>125252, Г.МОСКВА, МУНИЦИПАЛЬНЫЙ ОКРУГ ХОРОШЕВСКИЙ, УЛ 3-Я ПЕСЧАНАЯ, Д. 2А</t>
        </is>
      </c>
      <c r="L15" s="6" t="n">
        <v>3354</v>
      </c>
      <c r="M15" s="6" t="n">
        <v>6342400</v>
      </c>
      <c r="N15" s="6" t="n">
        <v>139715</v>
      </c>
      <c r="O15" s="6" t="n">
        <v>270657</v>
      </c>
      <c r="P15" s="5"/>
      <c r="Q15" s="5"/>
    </row>
    <row collapsed="false" customFormat="false" customHeight="false" hidden="false" ht="12.1" outlineLevel="0" r="16">
      <c r="A16" s="4" t="s">
        <f>HYPERLINK("https://www.list-org.com/company/12878454","https://www.list-org.com/company/12878454")</f>
      </c>
      <c r="B16" s="5" t="inlineStr">
        <is>
          <t>ООО "СОВКОМБАНК ТЕХНОЛОГИИ"</t>
        </is>
      </c>
      <c r="C16" s="5" t="inlineStr">
        <is>
          <t>ОБЩЕСТВО С ОГРАНИЧЕННОЙ ОТВЕТСТВЕННОСТЬЮ "СОВКОМБАНК ТЕХНОЛОГИИ"</t>
        </is>
      </c>
      <c r="D16" s="5" t="inlineStr">
        <is>
          <t>действующее</t>
        </is>
      </c>
      <c r="E16" s="5" t="inlineStr">
        <is>
          <t>ЛИТОВЧЕНКО ВЯЧЕСЛАВ ВЛАДИМИРОВИЧ</t>
        </is>
      </c>
      <c r="F16" s="5" t="inlineStr">
        <is>
          <t>4400001172</t>
        </is>
      </c>
      <c r="G16" s="5" t="inlineStr">
        <is>
          <t>1214400000760</t>
        </is>
      </c>
      <c r="H16" s="5"/>
      <c r="I16" s="5" t="inlineStr">
        <is>
          <t>info@sovcombank.it</t>
        </is>
      </c>
      <c r="J16" s="5"/>
      <c r="K16" s="5" t="inlineStr">
        <is>
          <t>143007, МОСКОВСКАЯ ОБЛАСТЬ, ОДИНЦОВСКИЙ, Г. Одинцово, Г ОДИНЦОВО, УЛ ВОКЗАЛЬНАЯ, Д. 3Б, КОМ. 307</t>
        </is>
      </c>
      <c r="L16" s="6" t="n">
        <v>3342</v>
      </c>
      <c r="M16" s="6" t="n">
        <v>13627900</v>
      </c>
      <c r="N16" s="6" t="n">
        <v>9057</v>
      </c>
      <c r="O16" s="6" t="n">
        <v>159189</v>
      </c>
      <c r="P16" s="5"/>
      <c r="Q16" s="5"/>
    </row>
    <row collapsed="false" customFormat="false" customHeight="false" hidden="false" ht="12.1" outlineLevel="0" r="17">
      <c r="A17" s="4" t="s">
        <f>HYPERLINK("https://www.list-org.com/company/4406","https://www.list-org.com/company/4406")</f>
      </c>
      <c r="B17" s="5" t="inlineStr">
        <is>
          <t>АО "ГИПРОТРУБОПРОВОД"</t>
        </is>
      </c>
      <c r="C17" s="5" t="inlineStr">
        <is>
          <t>АКЦИОНЕРНОЕ ОБЩЕСТВО "ИНСТИТУТ ПО ПРОЕКТИРОВАНИЮ МАГИСТРАЛЬНЫХ ТРУБОПРОВОДОВ"</t>
        </is>
      </c>
      <c r="D17" s="5" t="inlineStr">
        <is>
          <t>действующее</t>
        </is>
      </c>
      <c r="E17" s="5" t="inlineStr">
        <is>
          <t>ЗАВАЛИШИН РОМАН ГЕННАДЬЕВИЧ</t>
        </is>
      </c>
      <c r="F17" s="5" t="inlineStr">
        <is>
          <t>7710022410</t>
        </is>
      </c>
      <c r="G17" s="5" t="inlineStr">
        <is>
          <t>1027700002660</t>
        </is>
      </c>
      <c r="H17" s="5" t="inlineStr">
        <is>
          <t>+7 (495) 950-86-50</t>
        </is>
      </c>
      <c r="I17" s="5" t="inlineStr">
        <is>
          <t>gtp@gtp.transneft.ru</t>
        </is>
      </c>
      <c r="J17" s="5" t="inlineStr">
        <is>
          <t>http://giprotruboprovod.transneft.ru</t>
        </is>
      </c>
      <c r="K17" s="5" t="inlineStr">
        <is>
          <t>119334, МОСКВА ГОРОД, УЛ. ВАВИЛОВА, Д.24, К.1</t>
        </is>
      </c>
      <c r="L17" s="6" t="n">
        <v>3190</v>
      </c>
      <c r="M17" s="6" t="n">
        <v>15901200</v>
      </c>
      <c r="N17" s="6" t="n">
        <v>25198</v>
      </c>
      <c r="O17" s="6" t="n">
        <v>7625230</v>
      </c>
      <c r="P17" s="5"/>
      <c r="Q17" s="5"/>
    </row>
    <row collapsed="false" customFormat="false" customHeight="false" hidden="false" ht="12.1" outlineLevel="0" r="18">
      <c r="A18" s="4" t="s">
        <f>HYPERLINK("https://www.list-org.com/company/5707876","https://www.list-org.com/company/5707876")</f>
      </c>
      <c r="B18" s="5" t="inlineStr">
        <is>
          <t>ООО "РТК ИНФОТЕХ"</t>
        </is>
      </c>
      <c r="C18" s="5" t="inlineStr">
        <is>
          <t>ОБЩЕСТВО С ОГРАНИЧЕННОЙ ОТВЕТСТВЕННОСТЬЮ "РОСТЕЛЕКОМ ИНФОРМАЦИОННЫЕ ТЕХНОЛОГИИ"</t>
        </is>
      </c>
      <c r="D18" s="5" t="inlineStr">
        <is>
          <t>действующее</t>
        </is>
      </c>
      <c r="E18" s="5" t="inlineStr">
        <is>
          <t>АГЕВНИН КИРИЛЛ АЛЕКСАНДРОВИЧ</t>
        </is>
      </c>
      <c r="F18" s="5" t="inlineStr">
        <is>
          <t>5030065734</t>
        </is>
      </c>
      <c r="G18" s="5" t="inlineStr">
        <is>
          <t>1095030001131</t>
        </is>
      </c>
      <c r="H18" s="5" t="inlineStr">
        <is>
          <t>+7 (495) 992-04-06</t>
        </is>
      </c>
      <c r="I18" s="5" t="inlineStr">
        <is>
          <t>valeriya.ivanchenko@rt.ru</t>
        </is>
      </c>
      <c r="J18" s="5"/>
      <c r="K18" s="5" t="inlineStr">
        <is>
          <t>108811, Г.МОСКВА, КМ 22-Й (КИЕВСКОЕ Ш.), ДВЛД. 6, СТР. 1, ОФИС Е434</t>
        </is>
      </c>
      <c r="L18" s="6" t="n">
        <v>3118</v>
      </c>
      <c r="M18" s="6" t="n">
        <v>17252800</v>
      </c>
      <c r="N18" s="6" t="n">
        <v>1018240</v>
      </c>
      <c r="O18" s="6" t="n">
        <v>2780390</v>
      </c>
      <c r="P18" s="5"/>
      <c r="Q18" s="5"/>
    </row>
    <row collapsed="false" customFormat="false" customHeight="false" hidden="false" ht="12.1" outlineLevel="0" r="19">
      <c r="A19" s="4" t="s">
        <f>HYPERLINK("https://www.list-org.com/company/230883","https://www.list-org.com/company/230883")</f>
      </c>
      <c r="B19" s="5" t="inlineStr">
        <is>
          <t>ООО "ГАЗПРОМНЕФТЬ ИТО"</t>
        </is>
      </c>
      <c r="C19" s="5" t="inlineStr">
        <is>
          <t>ОБЩЕСТВО С ОГРАНИЧЕННОЙ ОТВЕТСТВЕННОСТЬЮ "ГАЗПРОМНЕФТЬ ИНФОРМАЦИОННО-ТЕХНОЛОГИЧЕСКИЙ ОПЕРАТОР"</t>
        </is>
      </c>
      <c r="D19" s="5" t="inlineStr">
        <is>
          <t>действующее</t>
        </is>
      </c>
      <c r="E19" s="5" t="inlineStr">
        <is>
          <t>ПОЗДНЯКОВ КИРИЛЛ ГРИГОРЬЕВИЧ</t>
        </is>
      </c>
      <c r="F19" s="5" t="inlineStr">
        <is>
          <t>8905032518</t>
        </is>
      </c>
      <c r="G19" s="5" t="inlineStr">
        <is>
          <t>1038900945995</t>
        </is>
      </c>
      <c r="H19" s="5" t="inlineStr">
        <is>
          <t>+7 (3496) 37-20-89</t>
        </is>
      </c>
      <c r="I19" s="5" t="inlineStr">
        <is>
          <t>gpn_ito_do@gazprom-neft.ru</t>
        </is>
      </c>
      <c r="J19" s="5" t="inlineStr">
        <is>
          <t>www.nngs.gazprom-neft.ru</t>
        </is>
      </c>
      <c r="K19" s="5" t="inlineStr">
        <is>
          <t>190013, САНКТ-ПЕТЕРБУРГ ГОРОД, ПРОСПЕКТ МОСКОВСКИЙ, Д. 60/129, ЛИТЕРА А ЧАСТЬ ПОМЕЩЕНИЯ 1-Н, КОМНАТЫ 195-207</t>
        </is>
      </c>
      <c r="L19" s="6" t="n">
        <v>2820</v>
      </c>
      <c r="M19" s="6" t="n">
        <v>16985000</v>
      </c>
      <c r="N19" s="6" t="n">
        <v>1082360</v>
      </c>
      <c r="O19" s="6" t="n">
        <v>4734390</v>
      </c>
      <c r="P19" s="5"/>
      <c r="Q19" s="5"/>
    </row>
    <row collapsed="false" customFormat="false" customHeight="false" hidden="false" ht="12.1" outlineLevel="0" r="20">
      <c r="A20" s="4" t="s">
        <f>HYPERLINK("https://www.list-org.com/company/5104597","https://www.list-org.com/company/5104597")</f>
      </c>
      <c r="B20" s="5" t="inlineStr">
        <is>
          <t>АО "НВБС"</t>
        </is>
      </c>
      <c r="C20" s="5" t="inlineStr">
        <is>
          <t>АКЦИОНЕРНОЕ ОБЩЕСТВО "НВБС"</t>
        </is>
      </c>
      <c r="D20" s="5" t="inlineStr">
        <is>
          <t>действующее</t>
        </is>
      </c>
      <c r="E20" s="5" t="inlineStr">
        <is>
          <t>СТАК АЛЕКСАНДР ВАЛЕРИАНОВИЧ</t>
        </is>
      </c>
      <c r="F20" s="5" t="inlineStr">
        <is>
          <t>7725629159</t>
        </is>
      </c>
      <c r="G20" s="5" t="inlineStr">
        <is>
          <t>1087746213697</t>
        </is>
      </c>
      <c r="H20" s="5" t="inlineStr">
        <is>
          <t>+7 (495) 252-03-50</t>
        </is>
      </c>
      <c r="I20" s="5"/>
      <c r="J20" s="5"/>
      <c r="K20" s="5" t="inlineStr">
        <is>
          <t>127018, Г.МОСКВА, ВНУТРИГОРОДСКАЯ ТЕРРИТОРИЯ ГОРОДА ФЕДЕРАЛЬНОГО ЗНАЧЕНИЯ МУНИЦИПАЛЬНЫЙ ОКРУГ БУТЫРСКИЙ, УЛ СКЛАДОЧНАЯ, Д. 3</t>
        </is>
      </c>
      <c r="L20" s="6" t="n">
        <v>2777</v>
      </c>
      <c r="M20" s="6" t="n">
        <v>23949400</v>
      </c>
      <c r="N20" s="6" t="n">
        <v>722350</v>
      </c>
      <c r="O20" s="6" t="n">
        <v>1441210</v>
      </c>
      <c r="P20" s="5"/>
      <c r="Q20" s="5"/>
    </row>
    <row collapsed="false" customFormat="false" customHeight="false" hidden="false" ht="12.1" outlineLevel="0" r="21">
      <c r="A21" s="4" t="s">
        <f>HYPERLINK("https://www.list-org.com/company/41898","https://www.list-org.com/company/41898")</f>
      </c>
      <c r="B21" s="5" t="inlineStr">
        <is>
          <t>АО "СЕВЕРСТАЛЬ-ИНФОКОМ"</t>
        </is>
      </c>
      <c r="C21" s="5" t="inlineStr">
        <is>
          <t>АКЦИОНЕРНОЕ ОБЩЕСТВО "СЕВЕРСТАЛЬ-ИНФОКОМ"</t>
        </is>
      </c>
      <c r="D21" s="5" t="inlineStr">
        <is>
          <t>действующее</t>
        </is>
      </c>
      <c r="E21" s="5" t="inlineStr">
        <is>
          <t>ДУНАЕВ СЕРГЕЙ ВАДИМОВИЧ</t>
        </is>
      </c>
      <c r="F21" s="5" t="inlineStr">
        <is>
          <t>3528007105</t>
        </is>
      </c>
      <c r="G21" s="5" t="inlineStr">
        <is>
          <t>1023501237330</t>
        </is>
      </c>
      <c r="H21" s="5" t="inlineStr">
        <is>
          <t>+7 (8202) 53-62-00</t>
        </is>
      </c>
      <c r="I21" s="5" t="inlineStr">
        <is>
          <t>gosuslugi@severstal.com</t>
        </is>
      </c>
      <c r="J21" s="5"/>
      <c r="K21" s="5" t="inlineStr">
        <is>
          <t>162602, ВОЛОГОДСКАЯ ОБЛАСТЬ, Г. ЧЕРЕПОВЕЦ, УЛ. ЛЕНИНА, Д. 123А</t>
        </is>
      </c>
      <c r="L21" s="6" t="n">
        <v>2575</v>
      </c>
      <c r="M21" s="6" t="n">
        <v>7246850</v>
      </c>
      <c r="N21" s="6" t="n">
        <v>101535</v>
      </c>
      <c r="O21" s="6" t="n">
        <v>146573</v>
      </c>
      <c r="P21" s="5"/>
      <c r="Q21" s="5"/>
    </row>
    <row collapsed="false" customFormat="false" customHeight="false" hidden="false" ht="12.1" outlineLevel="0" r="22">
      <c r="A22" s="4" t="s">
        <f>HYPERLINK("https://www.list-org.com/company/6693188","https://www.list-org.com/company/6693188")</f>
      </c>
      <c r="B22" s="5" t="inlineStr">
        <is>
          <t>ООО "Философия.ИТ"</t>
        </is>
      </c>
      <c r="C22" s="5" t="inlineStr">
        <is>
          <t>ОБЩЕСТВО С ОГРАНИЧЕННОЙ ОТВЕТСТВЕННОСТЬЮ "Философия.ИТ"</t>
        </is>
      </c>
      <c r="D22" s="5" t="inlineStr">
        <is>
          <t>действующее</t>
        </is>
      </c>
      <c r="E22" s="5" t="inlineStr">
        <is>
          <t>НЕЛЬКИН МИХАИЛ ВИКТОРОВИЧ</t>
        </is>
      </c>
      <c r="F22" s="5" t="inlineStr">
        <is>
          <t>7713728490</t>
        </is>
      </c>
      <c r="G22" s="5" t="inlineStr">
        <is>
          <t>1117746379145</t>
        </is>
      </c>
      <c r="H22" s="5" t="inlineStr">
        <is>
          <t>+7 (495) 988-37-38</t>
        </is>
      </c>
      <c r="I22" s="5"/>
      <c r="J22" s="5"/>
      <c r="K22" s="5" t="inlineStr">
        <is>
          <t>107023, Г.МОСКВА, УЛ. ИЗМАЙЛОВСКИЙ ВАЛ, Д. 30</t>
        </is>
      </c>
      <c r="L22" s="6" t="n">
        <v>2565</v>
      </c>
      <c r="M22" s="6" t="n">
        <v>10051900</v>
      </c>
      <c r="N22" s="6" t="n">
        <v>104212</v>
      </c>
      <c r="O22" s="6" t="n">
        <v>678232</v>
      </c>
      <c r="P22" s="5"/>
      <c r="Q22" s="5"/>
    </row>
    <row collapsed="false" customFormat="false" customHeight="false" hidden="false" ht="12.1" outlineLevel="0" r="23">
      <c r="A23" s="4" t="s">
        <f>HYPERLINK("https://www.list-org.com/company/13248287","https://www.list-org.com/company/13248287")</f>
      </c>
      <c r="B23" s="5" t="inlineStr">
        <is>
          <t>ООО "ЯНДЕКС.ДОСТАВКА ХОЛДИНГ"</t>
        </is>
      </c>
      <c r="C23" s="5" t="inlineStr">
        <is>
          <t>ОБЩЕСТВО С ОГРАНИЧЕННОЙ ОТВЕТСТВЕННОСТЬЮ "ЯНДЕКС.ДОСТАВКА ХОЛДИНГ"</t>
        </is>
      </c>
      <c r="D23" s="5" t="inlineStr">
        <is>
          <t>действующее</t>
        </is>
      </c>
      <c r="E23" s="5" t="inlineStr">
        <is>
          <t>КЕЗУА НОДАРИ НОДАРИЕВИЧ</t>
        </is>
      </c>
      <c r="F23" s="5" t="inlineStr">
        <is>
          <t>9704107589</t>
        </is>
      </c>
      <c r="G23" s="5" t="inlineStr">
        <is>
          <t>1217700614867</t>
        </is>
      </c>
      <c r="H23" s="5" t="inlineStr">
        <is>
          <t>+7 (925) 099-43-49</t>
        </is>
      </c>
      <c r="I23" s="5" t="inlineStr">
        <is>
          <t>register-taxi@yandex-team.ru, corporate-legaltaxi@yandex-team.ru</t>
        </is>
      </c>
      <c r="J23" s="5"/>
      <c r="K23" s="5" t="inlineStr">
        <is>
          <t>123112, Г.МОСКВА, МУНИЦИПАЛЬНЫЙ ОКРУГ ПРЕСНЕНСКИЙ, ПРОЕЗД 1-Й КРАСНОГВАРДЕЙСКИЙ, Д. 22,СТР. 1, СТР. 1, ПОМЕЩ. 12-40</t>
        </is>
      </c>
      <c r="L23" s="6" t="n">
        <v>2427</v>
      </c>
      <c r="M23" s="6" t="n">
        <v>10880500</v>
      </c>
      <c r="N23" s="6" t="n">
        <v>-107129</v>
      </c>
      <c r="O23" s="6" t="n">
        <v>279078</v>
      </c>
      <c r="P23" s="5"/>
      <c r="Q23" s="5"/>
    </row>
    <row collapsed="false" customFormat="false" customHeight="false" hidden="false" ht="12.1" outlineLevel="0" r="24">
      <c r="A24" s="4" t="s">
        <f>HYPERLINK("https://www.list-org.com/company/12831702","https://www.list-org.com/company/12831702")</f>
      </c>
      <c r="B24" s="5" t="inlineStr">
        <is>
          <t>ООО "ВК-ИТ"</t>
        </is>
      </c>
      <c r="C24" s="5" t="inlineStr">
        <is>
          <t>ОБЩЕСТВО С ОГРАНИЧЕННОЙ ОТВЕТСТВЕННОСТЬЮ "ВЫМПЕЛКОМ-ИНФОРМАЦИОННЫЕ ТЕХНОЛОГИИ"</t>
        </is>
      </c>
      <c r="D24" s="5" t="inlineStr">
        <is>
          <t>действующее</t>
        </is>
      </c>
      <c r="E24" s="5" t="inlineStr">
        <is>
          <t>ХОРЬКОВ СЕРГЕЙ ОЛЕГОВИЧ</t>
        </is>
      </c>
      <c r="F24" s="5" t="inlineStr">
        <is>
          <t>7713479734</t>
        </is>
      </c>
      <c r="G24" s="5" t="inlineStr">
        <is>
          <t>1217700010440</t>
        </is>
      </c>
      <c r="H24" s="5" t="inlineStr">
        <is>
          <t>+7 (985) 212-14-48</t>
        </is>
      </c>
      <c r="I24" s="5" t="inlineStr">
        <is>
          <t>skhorkov@beeline.ru</t>
        </is>
      </c>
      <c r="J24" s="5"/>
      <c r="K24" s="5" t="inlineStr">
        <is>
          <t>143401, МОСКОВСКАЯ ОБЛАСТЬ, КРАСНОГОРСК, Г КРАСНОГОРСК, Г КРАСНОГОРСК, Б-Р СТРОИТЕЛЕЙ, Д. 4, К. 1, КОМ. 32,34</t>
        </is>
      </c>
      <c r="L24" s="6" t="n">
        <v>2357</v>
      </c>
      <c r="M24" s="6" t="n">
        <v>13281100</v>
      </c>
      <c r="N24" s="6" t="n">
        <v>597629</v>
      </c>
      <c r="O24" s="6" t="n">
        <v>773886</v>
      </c>
      <c r="P24" s="5"/>
      <c r="Q24" s="5"/>
    </row>
    <row collapsed="false" customFormat="false" customHeight="false" hidden="false" ht="12.1" outlineLevel="0" r="25">
      <c r="A25" s="4" t="s">
        <f>HYPERLINK("https://www.list-org.com/company/9267984","https://www.list-org.com/company/9267984")</f>
      </c>
      <c r="B25" s="5" t="inlineStr">
        <is>
          <t>ООО "РСХБ-ИНТЕХ"</t>
        </is>
      </c>
      <c r="C25" s="5" t="inlineStr">
        <is>
          <t>ОБЩЕСТВО С ОГРАНИЧЕННОЙ ОТВЕТСТВЕННОСТЬЮ "РСХБ-ИНТЕХ"</t>
        </is>
      </c>
      <c r="D25" s="5" t="inlineStr">
        <is>
          <t>действующее</t>
        </is>
      </c>
      <c r="E25" s="5" t="inlineStr">
        <is>
          <t>КОРАБЛЁВ АРТЁМ СЕРГЕЕВИЧ</t>
        </is>
      </c>
      <c r="F25" s="5" t="inlineStr">
        <is>
          <t>7704370385</t>
        </is>
      </c>
      <c r="G25" s="5" t="inlineStr">
        <is>
          <t>1167746822946</t>
        </is>
      </c>
      <c r="H25" s="5"/>
      <c r="I25" s="5" t="inlineStr">
        <is>
          <t>info@rshbintech.ru, lyadovskiyia@intech.rshb.ru</t>
        </is>
      </c>
      <c r="J25" s="5"/>
      <c r="K25" s="5" t="inlineStr">
        <is>
          <t>119034, Г.МОСКВА, МУНИЦИПАЛЬНЫЙ ОКРУГ ХАМОВНИКИ, ПЕР ГАГАРИНСКИЙ, Д. 3, КОМ. 40</t>
        </is>
      </c>
      <c r="L25" s="6" t="n">
        <v>2284</v>
      </c>
      <c r="M25" s="6" t="n">
        <v>9221760</v>
      </c>
      <c r="N25" s="6" t="n">
        <v>-150938</v>
      </c>
      <c r="O25" s="6" t="n">
        <v>-150791</v>
      </c>
      <c r="P25" s="5"/>
      <c r="Q25" s="5"/>
    </row>
    <row collapsed="false" customFormat="false" customHeight="false" hidden="false" ht="12.1" outlineLevel="0" r="26">
      <c r="A26" s="4" t="s">
        <f>HYPERLINK("https://www.list-org.com/company/6713175","https://www.list-org.com/company/6713175")</f>
      </c>
      <c r="B26" s="5" t="inlineStr">
        <is>
          <t>АО "СБЕРТЕХ"</t>
        </is>
      </c>
      <c r="C26" s="5" t="inlineStr">
        <is>
          <t>АКЦИОНЕРНОЕ ОБЩЕСТВО "СБЕРБАНК - ТЕХНОЛОГИИ"</t>
        </is>
      </c>
      <c r="D26" s="5" t="inlineStr">
        <is>
          <t>действующее</t>
        </is>
      </c>
      <c r="E26" s="5" t="inlineStr">
        <is>
          <t>ТЯТЮШЕВ МАКСИМ АНАТОЛЬЕВИЧ</t>
        </is>
      </c>
      <c r="F26" s="5" t="inlineStr">
        <is>
          <t>7736632467</t>
        </is>
      </c>
      <c r="G26" s="5" t="inlineStr">
        <is>
          <t>1117746533926</t>
        </is>
      </c>
      <c r="H26" s="5" t="inlineStr">
        <is>
          <t>+7 (495) 669-08-08</t>
        </is>
      </c>
      <c r="I26" s="5" t="inlineStr">
        <is>
          <t>sbt-pr@sberbank.ru</t>
        </is>
      </c>
      <c r="J26" s="5" t="inlineStr">
        <is>
          <t>www.sber-tech.com</t>
        </is>
      </c>
      <c r="K26" s="5" t="inlineStr">
        <is>
          <t>117105, МОСКВА ГОРОД, НАБ. НОВОДАНИЛОВСКАЯ, Д.10</t>
        </is>
      </c>
      <c r="L26" s="6" t="n">
        <v>2242</v>
      </c>
      <c r="M26" s="6" t="n">
        <v>20563600</v>
      </c>
      <c r="N26" s="6" t="n">
        <v>-425744</v>
      </c>
      <c r="O26" s="6" t="n">
        <v>4415210</v>
      </c>
      <c r="P26" s="5"/>
      <c r="Q26" s="5"/>
    </row>
    <row collapsed="false" customFormat="false" customHeight="false" hidden="false" ht="12.1" outlineLevel="0" r="27">
      <c r="A27" s="4" t="s">
        <f>HYPERLINK("https://www.list-org.com/company/54446","https://www.list-org.com/company/54446")</f>
      </c>
      <c r="B27" s="5" t="inlineStr">
        <is>
          <t>ООО "ЯНДЕКС"</t>
        </is>
      </c>
      <c r="C27" s="5" t="inlineStr">
        <is>
          <t>ОБЩЕСТВО С ОГРАНИЧЕННОЙ ОТВЕТСТВЕННОСТЬЮ "ЯНДЕКС"</t>
        </is>
      </c>
      <c r="D27" s="5" t="inlineStr">
        <is>
          <t>действующее</t>
        </is>
      </c>
      <c r="E27" s="5" t="inlineStr">
        <is>
          <t>  </t>
        </is>
      </c>
      <c r="F27" s="5" t="inlineStr">
        <is>
          <t>7736207543</t>
        </is>
      </c>
      <c r="G27" s="5" t="inlineStr">
        <is>
          <t>1027700229193</t>
        </is>
      </c>
      <c r="H27" s="5" t="inlineStr">
        <is>
          <t>+7 (495) 739-70-00</t>
        </is>
      </c>
      <c r="I27" s="5"/>
      <c r="J27" s="5"/>
      <c r="K27" s="5" t="inlineStr">
        <is>
          <t>119021, МОСКВА ГОРОД, УЛ. ЛЬВА ТОЛСТОГО, Д.16</t>
        </is>
      </c>
      <c r="L27" s="6" t="n">
        <v>2214</v>
      </c>
      <c r="M27" s="6" t="n">
        <v>544581000</v>
      </c>
      <c r="N27" s="6" t="n">
        <v>-11681200</v>
      </c>
      <c r="O27" s="6" t="n">
        <v>129251000</v>
      </c>
      <c r="P27" s="5"/>
      <c r="Q27" s="5"/>
    </row>
    <row collapsed="false" customFormat="false" customHeight="false" hidden="false" ht="12.1" outlineLevel="0" r="28">
      <c r="A28" s="4" t="s">
        <f>HYPERLINK("https://www.list-org.com/company/11839672","https://www.list-org.com/company/11839672")</f>
      </c>
      <c r="B28" s="5" t="inlineStr">
        <is>
          <t>ООО "ЯНДЕКС.ЛАВКА"</t>
        </is>
      </c>
      <c r="C28" s="5" t="inlineStr">
        <is>
          <t>ОБЩЕСТВО С ОГРАНИЧЕННОЙ ОТВЕТСТВЕННОСТЬЮ "ЯНДЕКС.ЛАВКА"</t>
        </is>
      </c>
      <c r="D28" s="5" t="inlineStr">
        <is>
          <t>действующее</t>
        </is>
      </c>
      <c r="E28" s="5" t="inlineStr">
        <is>
          <t>ПЕТРОВ ВАДИМ ВАДИМОВИЧ</t>
        </is>
      </c>
      <c r="F28" s="5" t="inlineStr">
        <is>
          <t>9718101499</t>
        </is>
      </c>
      <c r="G28" s="5" t="inlineStr">
        <is>
          <t>1187746479250</t>
        </is>
      </c>
      <c r="H28" s="5" t="inlineStr">
        <is>
          <t>+7 (916) 683-83-96</t>
        </is>
      </c>
      <c r="I28" s="5" t="inlineStr">
        <is>
          <t>register-taxi@yandex-team.ru, kolldaeva@yandex-team.ru</t>
        </is>
      </c>
      <c r="J28" s="5"/>
      <c r="K28" s="5" t="inlineStr">
        <is>
          <t>123112, Г.МОСКВА, МУНИЦИПАЛЬНЫЙ ОКРУГ ПРЕСНЕНСКИЙ, ПРОЕЗД 1-Й КРАСНОГВАРДЕЙСКИЙ, Д. 22,СТР. 1, СТР. 1, ПОМЕЩ. 12-40</t>
        </is>
      </c>
      <c r="L28" s="6" t="n">
        <v>2191</v>
      </c>
      <c r="M28" s="6" t="n">
        <v>110270000</v>
      </c>
      <c r="N28" s="6" t="n">
        <v>-2124080</v>
      </c>
      <c r="O28" s="6" t="n">
        <v>-7630090</v>
      </c>
      <c r="P28" s="5"/>
      <c r="Q28" s="5"/>
    </row>
    <row collapsed="false" customFormat="false" customHeight="false" hidden="false" ht="12.1" outlineLevel="0" r="29">
      <c r="A29" s="4" t="s">
        <f>HYPERLINK("https://www.list-org.com/company/127216","https://www.list-org.com/company/127216")</f>
      </c>
      <c r="B29" s="5" t="inlineStr">
        <is>
          <t>АО "ЦФТ"</t>
        </is>
      </c>
      <c r="C29" s="5" t="inlineStr">
        <is>
          <t>АКЦИОНЕРНОЕ ОБЩЕСТВО "ЦЕНТР ФИНАНСОВЫХ ТЕХНОЛОГИЙ"</t>
        </is>
      </c>
      <c r="D29" s="5" t="inlineStr">
        <is>
          <t>действующее</t>
        </is>
      </c>
      <c r="E29" s="5" t="inlineStr">
        <is>
          <t>ВИСЯЩЕВ АНДРЕЙ ВЯЧЕСЛАВОВИЧ</t>
        </is>
      </c>
      <c r="F29" s="5" t="inlineStr">
        <is>
          <t>5407125059</t>
        </is>
      </c>
      <c r="G29" s="5" t="inlineStr">
        <is>
          <t>1025403199689</t>
        </is>
      </c>
      <c r="H29" s="5" t="inlineStr">
        <is>
          <t>+7 (383) 339-92-49</t>
        </is>
      </c>
      <c r="I29" s="5" t="inlineStr">
        <is>
          <t>5407125059@cft.ru</t>
        </is>
      </c>
      <c r="J29" s="5"/>
      <c r="K29" s="5" t="inlineStr">
        <is>
          <t>630559, НОВОСИБИРСКАЯ ОБЛАСТЬ, РАБОЧИЙ ПОСЕЛОК КОЛЬЦОВО, РП. КОЛЬЦОВО, РП КОЛЬЦОВО, УЛ ТЕХНОПАРКОВАЯ, СТР. 1, ОФИС 208</t>
        </is>
      </c>
      <c r="L29" s="6" t="n">
        <v>2108</v>
      </c>
      <c r="M29" s="6" t="n">
        <v>10313900</v>
      </c>
      <c r="N29" s="6" t="n">
        <v>3303910</v>
      </c>
      <c r="O29" s="6" t="n">
        <v>1961530</v>
      </c>
      <c r="P29" s="5"/>
      <c r="Q29" s="5"/>
    </row>
    <row collapsed="false" customFormat="false" customHeight="false" hidden="false" ht="12.1" outlineLevel="0" r="30">
      <c r="A30" s="4" t="s">
        <f>HYPERLINK("https://www.list-org.com/company/13353795","https://www.list-org.com/company/13353795")</f>
      </c>
      <c r="B30" s="5" t="inlineStr">
        <is>
          <t>ООО "СМ ЛАБ"</t>
        </is>
      </c>
      <c r="C30" s="5" t="inlineStr">
        <is>
          <t>ОБЩЕСТВО С ОГРАНИЧЕННОЙ ОТВЕТСТВЕННОСТЬЮ "СПОРТМАСТЕР ЛАБ"</t>
        </is>
      </c>
      <c r="D30" s="5" t="inlineStr">
        <is>
          <t>действующее</t>
        </is>
      </c>
      <c r="E30" s="5" t="inlineStr">
        <is>
          <t>ЕФРЕМОВ ИГОРЬ АЛЕКСЕЕВИЧ</t>
        </is>
      </c>
      <c r="F30" s="5" t="inlineStr">
        <is>
          <t>7713488827</t>
        </is>
      </c>
      <c r="G30" s="5" t="inlineStr">
        <is>
          <t>1227700243077</t>
        </is>
      </c>
      <c r="H30" s="5"/>
      <c r="I30" s="5" t="inlineStr">
        <is>
          <t>info@smlab.digital</t>
        </is>
      </c>
      <c r="J30" s="5"/>
      <c r="K30" s="5" t="inlineStr">
        <is>
          <t>127422, Г.МОСКВА, МУНИЦИПАЛЬНЫЙ ОКРУГ ТИМИРЯЗЕВСКИЙ, УЛ ТИМИРЯЗЕВСКАЯ, Д. 1, КОМ. 4.С.2</t>
        </is>
      </c>
      <c r="L30" s="6" t="n">
        <v>1892</v>
      </c>
      <c r="M30" s="6" t="n">
        <v>12252400</v>
      </c>
      <c r="N30" s="6" t="n">
        <v>1258420</v>
      </c>
      <c r="O30" s="6" t="n">
        <v>2538600</v>
      </c>
      <c r="P30" s="5"/>
      <c r="Q30" s="5"/>
    </row>
    <row collapsed="false" customFormat="false" customHeight="false" hidden="false" ht="12.1" outlineLevel="0" r="31">
      <c r="A31" s="4" t="s">
        <f>HYPERLINK("https://www.list-org.com/company/4526","https://www.list-org.com/company/4526")</f>
      </c>
      <c r="B31" s="5" t="inlineStr">
        <is>
          <t>АО "НЕФТЕАВТОМАТИКА"</t>
        </is>
      </c>
      <c r="C31" s="5" t="inlineStr">
        <is>
          <t>АКЦИОНЕРНОЕ ОБЩЕСТВО "НЕФТЕАВТОМАТИКА"</t>
        </is>
      </c>
      <c r="D31" s="5" t="inlineStr">
        <is>
          <t>действующее</t>
        </is>
      </c>
      <c r="E31" s="5" t="inlineStr">
        <is>
          <t>ПАНЕБРАТЕЦ ФИЛИПП АЛЕКСАНДРОВИЧ</t>
        </is>
      </c>
      <c r="F31" s="5" t="inlineStr">
        <is>
          <t>0278005403</t>
        </is>
      </c>
      <c r="G31" s="5" t="inlineStr">
        <is>
          <t>1020203220916</t>
        </is>
      </c>
      <c r="H31" s="5" t="inlineStr">
        <is>
          <t>+7 (800) 700-78-68</t>
        </is>
      </c>
      <c r="I31" s="5" t="inlineStr">
        <is>
          <t>nefteavtomatika@nefteavtomatika.ru</t>
        </is>
      </c>
      <c r="J31" s="5" t="inlineStr">
        <is>
          <t>www.nefteavtomatika.ru</t>
        </is>
      </c>
      <c r="K31" s="5" t="inlineStr">
        <is>
          <t>450005, БАШКОРТОСТАН РЕСПУБЛИКА, Г. УФА, УЛ. 50-ЛЕТИЯ ОКТЯБРЯ, Д.24</t>
        </is>
      </c>
      <c r="L31" s="6" t="n">
        <v>1882</v>
      </c>
      <c r="M31" s="6" t="n">
        <v>7087200</v>
      </c>
      <c r="N31" s="6" t="n">
        <v>1004760</v>
      </c>
      <c r="O31" s="6" t="n">
        <v>1685120</v>
      </c>
      <c r="P31" s="5"/>
      <c r="Q31" s="5"/>
    </row>
    <row collapsed="false" customFormat="false" customHeight="false" hidden="false" ht="12.1" outlineLevel="0" r="32">
      <c r="A32" s="4" t="s">
        <f>HYPERLINK("https://www.list-org.com/company/4901256","https://www.list-org.com/company/4901256")</f>
      </c>
      <c r="B32" s="5" t="inlineStr">
        <is>
          <t>АО "БАРС ГРУП"</t>
        </is>
      </c>
      <c r="C32" s="5" t="inlineStr">
        <is>
          <t>АКЦИОНЕРНОЕ ОБЩЕСТВО "БАРС ГРУП"</t>
        </is>
      </c>
      <c r="D32" s="5" t="inlineStr">
        <is>
          <t>действующее</t>
        </is>
      </c>
      <c r="E32" s="5" t="inlineStr">
        <is>
          <t>АХМЕРОВ ТИМУР МАРАТОВИЧ</t>
        </is>
      </c>
      <c r="F32" s="5" t="inlineStr">
        <is>
          <t>1655251590</t>
        </is>
      </c>
      <c r="G32" s="5" t="inlineStr">
        <is>
          <t>1121690063923</t>
        </is>
      </c>
      <c r="H32" s="5" t="inlineStr">
        <is>
          <t>+7 (843) 524-71-15</t>
        </is>
      </c>
      <c r="I32" s="5" t="inlineStr">
        <is>
          <t>bars@bars.group</t>
        </is>
      </c>
      <c r="J32" s="5" t="inlineStr">
        <is>
          <t>bars-open.ru</t>
        </is>
      </c>
      <c r="K32" s="5" t="inlineStr">
        <is>
          <t>420012, ТАТАРСТАН РЕСПУБЛИКА, ГОРОД КАЗАНЬ, УЛИЦА НЕКРАСОВА, Д. 9, ОФИС 11</t>
        </is>
      </c>
      <c r="L32" s="6" t="n">
        <v>1875</v>
      </c>
      <c r="M32" s="6" t="n">
        <v>5393410</v>
      </c>
      <c r="N32" s="6" t="n">
        <v>348051</v>
      </c>
      <c r="O32" s="6" t="n">
        <v>875955</v>
      </c>
      <c r="P32" s="5"/>
      <c r="Q32" s="5"/>
    </row>
    <row collapsed="false" customFormat="false" customHeight="false" hidden="false" ht="12.1" outlineLevel="0" r="33">
      <c r="A33" s="4" t="s">
        <f>HYPERLINK("https://www.list-org.com/company/13232789","https://www.list-org.com/company/13232789")</f>
      </c>
      <c r="B33" s="5" t="inlineStr">
        <is>
          <t>ООО "ЦИФРОВЫЕ ТЕХНОЛОГИИ И ПЛАТФОРМЫ"</t>
        </is>
      </c>
      <c r="C33" s="5" t="inlineStr">
        <is>
          <t>ОБЩЕСТВО С ОГРАНИЧЕННОЙ ОТВЕТСТВЕННОСТЬЮ "ЦИФРОВЫЕ ТЕХНОЛОГИИ И ПЛАТФОРМЫ"</t>
        </is>
      </c>
      <c r="D33" s="5" t="inlineStr">
        <is>
          <t>действующее</t>
        </is>
      </c>
      <c r="E33" s="5" t="inlineStr">
        <is>
          <t>ФОКИН ВАЛЕРИЙ АЛЕКСАНДРОВИЧ</t>
        </is>
      </c>
      <c r="F33" s="5" t="inlineStr">
        <is>
          <t>9725070121</t>
        </is>
      </c>
      <c r="G33" s="5" t="inlineStr">
        <is>
          <t>1217700630620</t>
        </is>
      </c>
      <c r="H33" s="5"/>
      <c r="I33" s="5"/>
      <c r="J33" s="5"/>
      <c r="K33" s="5" t="inlineStr">
        <is>
          <t>115054, Г.МОСКВА, ВНУТРИГОРОДСКАЯ ТЕРРИТОРИЯ ГОРОДА ФЕДЕРАЛЬНОГО ЗНАЧЕНИЯ МУНИЦИПАЛЬНЫЙ ОКРУГ ДАНИЛОВСКИЙ, УЛ ДУБИНИНСКАЯ, Д. 57, ПОМЕЩ. 12</t>
        </is>
      </c>
      <c r="L33" s="6" t="n">
        <v>1785</v>
      </c>
      <c r="M33" s="6" t="n">
        <v>12491500</v>
      </c>
      <c r="N33" s="6" t="n">
        <v>1970220</v>
      </c>
      <c r="O33" s="6" t="n">
        <v>3369720</v>
      </c>
      <c r="P33" s="5"/>
      <c r="Q33" s="5"/>
    </row>
    <row collapsed="false" customFormat="false" customHeight="false" hidden="false" ht="12.1" outlineLevel="0" r="34">
      <c r="A34" s="4" t="s">
        <f>HYPERLINK("https://www.list-org.com/company/12938083","https://www.list-org.com/company/12938083")</f>
      </c>
      <c r="B34" s="5" t="inlineStr">
        <is>
          <t>ООО "АВИТО ТЕХ"</t>
        </is>
      </c>
      <c r="C34" s="5" t="inlineStr">
        <is>
          <t>ОБЩЕСТВО С ОГРАНИЧЕННОЙ ОТВЕТСТВЕННОСТЬЮ "АВИТО ТЕХ"</t>
        </is>
      </c>
      <c r="D34" s="5" t="inlineStr">
        <is>
          <t>действующее</t>
        </is>
      </c>
      <c r="E34" s="5" t="inlineStr">
        <is>
          <t>УПРАВЛЯЮЩАЯ КОМПАНИЯ ОБЩЕСТВО С ОГРАНИЧЕННОЙ ОТВЕТСТВЕННОСТЬЮ "АВИТО МЕНЕДЖМЕНТ"</t>
        </is>
      </c>
      <c r="F34" s="5" t="inlineStr">
        <is>
          <t>9710089440</t>
        </is>
      </c>
      <c r="G34" s="5" t="inlineStr">
        <is>
          <t>1217700216403</t>
        </is>
      </c>
      <c r="H34" s="5"/>
      <c r="I34" s="5" t="inlineStr">
        <is>
          <t>techdocs@avito.ru</t>
        </is>
      </c>
      <c r="J34" s="5"/>
      <c r="K34" s="5" t="inlineStr">
        <is>
          <t>125196, Г.МОСКВА, МУНИЦИПАЛЬНЫЙ ОКРУГ ТВЕРСКОЙ, УЛ ЛЕСНАЯ, Д. 7, КОМ. 1-39</t>
        </is>
      </c>
      <c r="L34" s="6" t="n">
        <v>1710</v>
      </c>
      <c r="M34" s="6" t="n">
        <v>22656300</v>
      </c>
      <c r="N34" s="6" t="n">
        <v>2122110</v>
      </c>
      <c r="O34" s="6" t="n">
        <v>3309340</v>
      </c>
      <c r="P34" s="5"/>
      <c r="Q34" s="5"/>
    </row>
    <row collapsed="false" customFormat="false" customHeight="false" hidden="false" ht="12.1" outlineLevel="0" r="35">
      <c r="A35" s="4" t="s">
        <f>HYPERLINK("https://www.list-org.com/company/120868","https://www.list-org.com/company/120868")</f>
      </c>
      <c r="B35" s="5" t="inlineStr">
        <is>
          <t>АО "КОНСИСТ- ОС"</t>
        </is>
      </c>
      <c r="C35" s="5" t="inlineStr">
        <is>
          <t>АКЦИОНЕРНОЕ ОБЩЕСТВО "КОНСИСТ - ОПЕРАТОР СВЯЗИ"</t>
        </is>
      </c>
      <c r="D35" s="5" t="inlineStr">
        <is>
          <t>действующее</t>
        </is>
      </c>
      <c r="E35" s="5" t="inlineStr">
        <is>
          <t>ХОЛКИН ИЛЬЯ НИКОЛАЕВИЧ</t>
        </is>
      </c>
      <c r="F35" s="5" t="inlineStr">
        <is>
          <t>7711077412</t>
        </is>
      </c>
      <c r="G35" s="5" t="inlineStr">
        <is>
          <t>1027739236920</t>
        </is>
      </c>
      <c r="H35" s="5" t="inlineStr">
        <is>
          <t>+7 (495) 710-64-15</t>
        </is>
      </c>
      <c r="I35" s="5" t="inlineStr">
        <is>
          <t>dunaeva-am@rosenergoatom.ru, grebennikova-as@rosenergoatom.ru, kopnova-tm@rosenergoatom.ru, info@consyst-os.ru</t>
        </is>
      </c>
      <c r="J35" s="5" t="inlineStr">
        <is>
          <t>consyst-oc.ru</t>
        </is>
      </c>
      <c r="K35" s="5" t="inlineStr">
        <is>
          <t>109507, Г.МОСКВА, ВНУТРИГОРОДСКАЯ ТЕРРИТОРИЯ ГОРОДА ФЕДЕРАЛЬНОГО ЗНАЧЕНИЯ МУНИЦИПАЛЬНЫЙ ОКРУГ ВЫХИНО-ЖУЛЕБИНО, УЛ ФЕРГАНСКАЯ, Д. 25, ПОМЕЩ. 8</t>
        </is>
      </c>
      <c r="L35" s="6" t="n">
        <v>1548</v>
      </c>
      <c r="M35" s="6" t="n">
        <v>5931220</v>
      </c>
      <c r="N35" s="6" t="n">
        <v>900360</v>
      </c>
      <c r="O35" s="6" t="n">
        <v>2356960</v>
      </c>
      <c r="P35" s="5"/>
      <c r="Q35" s="5"/>
    </row>
    <row collapsed="false" customFormat="false" customHeight="false" hidden="false" ht="12.1" outlineLevel="0" r="36">
      <c r="A36" s="4" t="s">
        <f>HYPERLINK("https://www.list-org.com/company/9708422","https://www.list-org.com/company/9708422")</f>
      </c>
      <c r="B36" s="5" t="inlineStr">
        <is>
          <t>ООО "СИБИНТЕК-СОФТ"</t>
        </is>
      </c>
      <c r="C36" s="5" t="inlineStr">
        <is>
          <t>ОБЩЕСТВО С ОГРАНИЧЕННОЙ ОТВЕТСТВЕННОСТЬЮ "СИБИНТЕК-СОФТ"</t>
        </is>
      </c>
      <c r="D36" s="5" t="inlineStr">
        <is>
          <t>действующее</t>
        </is>
      </c>
      <c r="E36" s="5" t="inlineStr">
        <is>
          <t>БОБРОВ НИКОЛАЙ ПЕТРОВИЧ</t>
        </is>
      </c>
      <c r="F36" s="5" t="inlineStr">
        <is>
          <t>7726398419</t>
        </is>
      </c>
      <c r="G36" s="5" t="inlineStr">
        <is>
          <t>1177746245500</t>
        </is>
      </c>
      <c r="H36" s="5" t="inlineStr">
        <is>
          <t>+7 (495) 739-83-00</t>
        </is>
      </c>
      <c r="I36" s="5" t="inlineStr">
        <is>
          <t>info@sibintek-soft.ru</t>
        </is>
      </c>
      <c r="J36" s="5"/>
      <c r="K36" s="5" t="inlineStr">
        <is>
          <t>141401, МОСКОВСКАЯ ОБЛАСТЬ, ХИМКИ, Г ХИМКИ, Г ХИМКИ, ПРОЕЗД КОММУНАЛЬНЫЙ, СТР. 30, ПОМЕЩ. 191</t>
        </is>
      </c>
      <c r="L36" s="6" t="n">
        <v>1507</v>
      </c>
      <c r="M36" s="6"/>
      <c r="N36" s="6"/>
      <c r="O36" s="6"/>
      <c r="P36" s="5"/>
      <c r="Q36" s="5"/>
    </row>
    <row collapsed="false" customFormat="false" customHeight="false" hidden="false" ht="12.1" outlineLevel="0" r="37">
      <c r="A37" s="4" t="s">
        <f>HYPERLINK("https://www.list-org.com/company/12213758","https://www.list-org.com/company/12213758")</f>
      </c>
      <c r="B37" s="5" t="inlineStr">
        <is>
          <t>ООО "ДЖЕЙ ЭС ЭЙ ГРУПП"</t>
        </is>
      </c>
      <c r="C37" s="5" t="inlineStr">
        <is>
          <t>ОБЩЕСТВО С ОГРАНИЧЕННОЙ ОТВЕТСТВЕННОСТЬЮ "ДЖЕЙ ЭС ЭЙ ГРУПП"</t>
        </is>
      </c>
      <c r="D37" s="5" t="inlineStr">
        <is>
          <t>действующее</t>
        </is>
      </c>
      <c r="E37" s="5" t="inlineStr">
        <is>
          <t>КИСЕЛЕВ СТАНИСЛАВ ВЛАДИМИРОВИЧ</t>
        </is>
      </c>
      <c r="F37" s="5" t="inlineStr">
        <is>
          <t>9731028505</t>
        </is>
      </c>
      <c r="G37" s="5" t="inlineStr">
        <is>
          <t>1197746109395</t>
        </is>
      </c>
      <c r="H37" s="5" t="inlineStr">
        <is>
          <t>+7 (495) 981-55-55</t>
        </is>
      </c>
      <c r="I37" s="5"/>
      <c r="J37" s="5"/>
      <c r="K37" s="5" t="inlineStr">
        <is>
          <t>121609, Г.МОСКВА, Ш. РУБЛЁВСКОЕ, Д. 28, ЭТ/ПОМ/КОМ 19/I/1</t>
        </is>
      </c>
      <c r="L37" s="6" t="n">
        <v>1450</v>
      </c>
      <c r="M37" s="6" t="n">
        <v>4765300</v>
      </c>
      <c r="N37" s="6" t="n">
        <v>1397860</v>
      </c>
      <c r="O37" s="6" t="n">
        <v>1232140</v>
      </c>
      <c r="P37" s="5"/>
      <c r="Q37" s="5"/>
    </row>
    <row collapsed="false" customFormat="false" customHeight="false" hidden="false" ht="12.1" outlineLevel="0" r="38">
      <c r="A38" s="4" t="s">
        <f>HYPERLINK("https://www.list-org.com/company/6813","https://www.list-org.com/company/6813")</f>
      </c>
      <c r="B38" s="5" t="inlineStr">
        <is>
          <t>АО "ПФ "СКБ КОНТУР"</t>
        </is>
      </c>
      <c r="C38" s="5" t="inlineStr">
        <is>
          <t>АКЦИОНЕРНОЕ ОБЩЕСТВО "ПРОИЗВОДСТВЕННАЯ ФИРМА "СКБ КОНТУР"</t>
        </is>
      </c>
      <c r="D38" s="5" t="inlineStr">
        <is>
          <t>действующее</t>
        </is>
      </c>
      <c r="E38" s="5" t="inlineStr">
        <is>
          <t>СРОДНЫХ МИХАИЛ ЮРЬЕВИЧ</t>
        </is>
      </c>
      <c r="F38" s="5" t="inlineStr">
        <is>
          <t>6663003127</t>
        </is>
      </c>
      <c r="G38" s="5" t="inlineStr">
        <is>
          <t>1026605606620</t>
        </is>
      </c>
      <c r="H38" s="5" t="inlineStr">
        <is>
          <t>+7 (800) 500-50-80</t>
        </is>
      </c>
      <c r="I38" s="5" t="inlineStr">
        <is>
          <t>info@skbkontur.ru</t>
        </is>
      </c>
      <c r="J38" s="5" t="inlineStr">
        <is>
          <t>skbkontur.ru</t>
        </is>
      </c>
      <c r="K38" s="5" t="inlineStr">
        <is>
          <t>620144, СВЕРДЛОВСКАЯ ОБЛАСТЬ, ГОРОД ЕКАТЕРИНБУРГ, УЛИЦА НАРОДНОЙ ВОЛИ</t>
        </is>
      </c>
      <c r="L38" s="6" t="n">
        <v>1404</v>
      </c>
      <c r="M38" s="6" t="n">
        <v>32494100</v>
      </c>
      <c r="N38" s="6" t="n">
        <v>4921030</v>
      </c>
      <c r="O38" s="6" t="n">
        <v>17285100</v>
      </c>
      <c r="P38" s="5"/>
      <c r="Q38" s="5"/>
    </row>
    <row collapsed="false" customFormat="false" customHeight="false" hidden="false" ht="12.1" outlineLevel="0" r="39">
      <c r="A39" s="4" t="s">
        <f>HYPERLINK("https://www.list-org.com/company/225606","https://www.list-org.com/company/225606")</f>
      </c>
      <c r="B39" s="5" t="inlineStr">
        <is>
          <t>АО "РТ Лабс"</t>
        </is>
      </c>
      <c r="C39" s="5" t="inlineStr">
        <is>
          <t>АКЦИОНЕРНОЕ ОБЩЕСТВО "РТ ЛАБС"</t>
        </is>
      </c>
      <c r="D39" s="5" t="inlineStr">
        <is>
          <t>действующее</t>
        </is>
      </c>
      <c r="E39" s="5" t="inlineStr">
        <is>
          <t>АЛАНИЯ ТЕНГИЗ МАМУКОВИЧ</t>
        </is>
      </c>
      <c r="F39" s="5" t="inlineStr">
        <is>
          <t>5047053920</t>
        </is>
      </c>
      <c r="G39" s="5" t="inlineStr">
        <is>
          <t>1035009567450</t>
        </is>
      </c>
      <c r="H39" s="5" t="inlineStr">
        <is>
          <t>+7 (495) 573-33-20</t>
        </is>
      </c>
      <c r="I39" s="5" t="inlineStr">
        <is>
          <t>sergey.yablokov@rtlabs.ru</t>
        </is>
      </c>
      <c r="J39" s="5"/>
      <c r="K39" s="5" t="inlineStr">
        <is>
          <t>141402, МОСКОВСКАЯ ОБЛАСТЬ, Г ХИМКИ, УЛ ПРОЛЕТАРСКАЯ, Д. 23, КОМ. 101</t>
        </is>
      </c>
      <c r="L39" s="6" t="n">
        <v>1398</v>
      </c>
      <c r="M39" s="6" t="n">
        <v>10932700</v>
      </c>
      <c r="N39" s="6" t="n">
        <v>1439780</v>
      </c>
      <c r="O39" s="6" t="n">
        <v>3313390</v>
      </c>
      <c r="P39" s="5"/>
      <c r="Q39" s="5"/>
    </row>
    <row collapsed="false" customFormat="false" customHeight="false" hidden="false" ht="12.1" outlineLevel="0" r="40">
      <c r="A40" s="4" t="s">
        <f>HYPERLINK("https://www.list-org.com/company/8052781","https://www.list-org.com/company/8052781")</f>
      </c>
      <c r="B40" s="5" t="inlineStr">
        <is>
          <t>ООО "ЛТ"</t>
        </is>
      </c>
      <c r="C40" s="5" t="inlineStr">
        <is>
          <t>ОБЩЕСТВО С ОГРАНИЧЕННОЙ ОТВЕТСТВЕННОСТЬЮ "ЛТ"</t>
        </is>
      </c>
      <c r="D40" s="5" t="inlineStr">
        <is>
          <t>действующее</t>
        </is>
      </c>
      <c r="E40" s="5" t="inlineStr">
        <is>
          <t>ОРЕШНИКОВ АЛЕКСЕЙ ЮРЬЕВИЧ</t>
        </is>
      </c>
      <c r="F40" s="5" t="inlineStr">
        <is>
          <t>7717152779</t>
        </is>
      </c>
      <c r="G40" s="5" t="inlineStr">
        <is>
          <t>1147748137844</t>
        </is>
      </c>
      <c r="H40" s="5"/>
      <c r="I40" s="5" t="inlineStr">
        <is>
          <t>aripova@lanit.ru, ilyina@lanit.ru, ilyna@lanit.ru, lyina@lanit.ru</t>
        </is>
      </c>
      <c r="J40" s="5"/>
      <c r="K40" s="5" t="inlineStr">
        <is>
          <t>129075, Г.МОСКВА, ПР-Д МУРМАНСКИЙ, Д. 14, К. 1, ЭТ 2 ПОМ A КОМ 112</t>
        </is>
      </c>
      <c r="L40" s="6" t="n">
        <v>1396</v>
      </c>
      <c r="M40" s="6" t="n">
        <v>6526520</v>
      </c>
      <c r="N40" s="6" t="n">
        <v>92411</v>
      </c>
      <c r="O40" s="6" t="n">
        <v>665087</v>
      </c>
      <c r="P40" s="5"/>
      <c r="Q40" s="5"/>
    </row>
    <row collapsed="false" customFormat="false" customHeight="false" hidden="false" ht="12.1" outlineLevel="0" r="41">
      <c r="A41" s="4" t="s">
        <f>HYPERLINK("https://www.list-org.com/company/6764393","https://www.list-org.com/company/6764393")</f>
      </c>
      <c r="B41" s="5" t="inlineStr">
        <is>
          <t>ООО "НПО "Криста"</t>
        </is>
      </c>
      <c r="C41" s="5" t="inlineStr">
        <is>
          <t>ОБЩЕСТВО С ОГРАНИЧЕННОЙ ОТВЕТСТВЕННОСТЬЮ "НПО "Криста"</t>
        </is>
      </c>
      <c r="D41" s="5" t="inlineStr">
        <is>
          <t>действующее</t>
        </is>
      </c>
      <c r="E41" s="5" t="inlineStr">
        <is>
          <t>ЧЕРНЫХ ЮРИЙ АЛЕКСЕЕВИЧ</t>
        </is>
      </c>
      <c r="F41" s="5" t="inlineStr">
        <is>
          <t>7707758779</t>
        </is>
      </c>
      <c r="G41" s="5" t="inlineStr">
        <is>
          <t>1117746753871</t>
        </is>
      </c>
      <c r="H41" s="5" t="inlineStr">
        <is>
          <t>+7 (4855) 29-17-21</t>
        </is>
      </c>
      <c r="I41" s="5" t="inlineStr">
        <is>
          <t>npokrista@mail.ru</t>
        </is>
      </c>
      <c r="J41" s="5" t="inlineStr">
        <is>
          <t>www.krista.ru</t>
        </is>
      </c>
      <c r="K41" s="5" t="inlineStr">
        <is>
          <t>129090, МОСКВА ГОРОД, ПЕРЕУЛОК ЩЕМИЛОВСКИЙ 2-Й, Д. 4, ПОМЕЩ. IV</t>
        </is>
      </c>
      <c r="L41" s="6" t="n">
        <v>1390</v>
      </c>
      <c r="M41" s="6" t="n">
        <v>3132200</v>
      </c>
      <c r="N41" s="6" t="n">
        <v>278738</v>
      </c>
      <c r="O41" s="6" t="n">
        <v>2376300</v>
      </c>
      <c r="P41" s="5"/>
      <c r="Q41" s="5"/>
    </row>
    <row collapsed="false" customFormat="false" customHeight="false" hidden="false" ht="12.1" outlineLevel="0" r="42">
      <c r="A42" s="4" t="s">
        <f>HYPERLINK("https://www.list-org.com/company/57635","https://www.list-org.com/company/57635")</f>
      </c>
      <c r="B42" s="5" t="inlineStr">
        <is>
          <t>АО "АЙ-ТЕКО"</t>
        </is>
      </c>
      <c r="C42" s="5" t="inlineStr">
        <is>
          <t>АКЦИОНЕРНОЕ ОБЩЕСТВО "АЙ-ТЕКО"</t>
        </is>
      </c>
      <c r="D42" s="5" t="inlineStr">
        <is>
          <t>действующее</t>
        </is>
      </c>
      <c r="E42" s="5" t="inlineStr">
        <is>
          <t>ПОДШИВАЛОВ ВИТАЛИЙ ВЯЧЕСЛАВОВИЧ</t>
        </is>
      </c>
      <c r="F42" s="5" t="inlineStr">
        <is>
          <t>7704160892</t>
        </is>
      </c>
      <c r="G42" s="5" t="inlineStr">
        <is>
          <t>1027700031061</t>
        </is>
      </c>
      <c r="H42" s="5" t="inlineStr">
        <is>
          <t>+7 (495) 777-10-95</t>
        </is>
      </c>
      <c r="I42" s="5" t="inlineStr">
        <is>
          <t>income@i-teco.ru</t>
        </is>
      </c>
      <c r="J42" s="5" t="inlineStr">
        <is>
          <t>www.i-teco.ru</t>
        </is>
      </c>
      <c r="K42" s="5" t="inlineStr">
        <is>
          <t>119119, МОСКВА Г., ПР-КТ ЛЕНИНСКИЙ, Д. 42, К. 6, ПОМЕЩ. IV, КОМНАТА 9</t>
        </is>
      </c>
      <c r="L42" s="6" t="n">
        <v>1386</v>
      </c>
      <c r="M42" s="6" t="n">
        <v>21988400</v>
      </c>
      <c r="N42" s="6" t="n">
        <v>418261</v>
      </c>
      <c r="O42" s="6" t="n">
        <v>6119510</v>
      </c>
      <c r="P42" s="5"/>
      <c r="Q42" s="5"/>
    </row>
    <row collapsed="false" customFormat="false" customHeight="false" hidden="false" ht="12.1" outlineLevel="0" r="43">
      <c r="A43" s="4" t="s">
        <f>HYPERLINK("https://www.list-org.com/company/9823399","https://www.list-org.com/company/9823399")</f>
      </c>
      <c r="B43" s="5" t="inlineStr">
        <is>
          <t>ООО "СКИЛБОКС"</t>
        </is>
      </c>
      <c r="C43" s="5" t="inlineStr">
        <is>
          <t>ОБЩЕСТВО С ОГРАНИЧЕННОЙ ОТВЕТСТВЕННОСТЬЮ "СКИЛБОКС"</t>
        </is>
      </c>
      <c r="D43" s="5" t="inlineStr">
        <is>
          <t>действующее</t>
        </is>
      </c>
      <c r="E43" s="5" t="inlineStr">
        <is>
          <t>ПОПКОВ СЕРГЕЙ ВАЛЕРЬЕВИЧ</t>
        </is>
      </c>
      <c r="F43" s="5" t="inlineStr">
        <is>
          <t>9701078611</t>
        </is>
      </c>
      <c r="G43" s="5" t="inlineStr">
        <is>
          <t>1177746566140</t>
        </is>
      </c>
      <c r="H43" s="5" t="inlineStr">
        <is>
          <t>+7 (495) 984-41-77</t>
        </is>
      </c>
      <c r="I43" s="5"/>
      <c r="J43" s="5"/>
      <c r="K43" s="5" t="inlineStr">
        <is>
          <t>121596, Г.Москва, ВНУТРИГОРОДСКАЯ ТЕРРИТОРИЯ ГОРОДА ФЕДЕРАЛЬНОГО ЗНАЧЕНИЯ МУНИЦИПАЛЬНЫЙ ОКРУГ МОЖАЙСКИЙ, УЛ ГОРБУНОВА, Д. 2, ПОМЕЩ. II, КОМ. 39А</t>
        </is>
      </c>
      <c r="L43" s="6" t="n">
        <v>1386</v>
      </c>
      <c r="M43" s="6" t="n">
        <v>1816930</v>
      </c>
      <c r="N43" s="6" t="n">
        <v>-2100860</v>
      </c>
      <c r="O43" s="6" t="n">
        <v>-507449</v>
      </c>
      <c r="P43" s="5"/>
      <c r="Q43" s="5"/>
    </row>
    <row collapsed="false" customFormat="false" customHeight="false" hidden="false" ht="12.1" outlineLevel="0" r="44">
      <c r="A44" s="4" t="s">
        <f>HYPERLINK("https://www.list-org.com/company/1508002","https://www.list-org.com/company/1508002")</f>
      </c>
      <c r="B44" s="5" t="inlineStr">
        <is>
          <t>ООО "СИМБИРСОФТ"</t>
        </is>
      </c>
      <c r="C44" s="5" t="inlineStr">
        <is>
          <t>ОБЩЕСТВО С ОГРАНИЧЕННОЙ ОТВЕТСТВЕННОСТЬЮ "СИМБИРСОФТ"</t>
        </is>
      </c>
      <c r="D44" s="5" t="inlineStr">
        <is>
          <t>действующее</t>
        </is>
      </c>
      <c r="E44" s="5" t="inlineStr">
        <is>
          <t>ФЛОРИНСКИЙ АЛЕКСЕЙ СЕРГЕЕВИЧ</t>
        </is>
      </c>
      <c r="F44" s="5" t="inlineStr">
        <is>
          <t>7325029206</t>
        </is>
      </c>
      <c r="G44" s="5" t="inlineStr">
        <is>
          <t>1027301167563</t>
        </is>
      </c>
      <c r="H44" s="5" t="inlineStr">
        <is>
          <t>+7 (8422) 44-84-16</t>
        </is>
      </c>
      <c r="I44" s="5" t="inlineStr">
        <is>
          <t>gosuslugi@simbirsoft.com</t>
        </is>
      </c>
      <c r="J44" s="5" t="inlineStr">
        <is>
          <t>www.simbirsoft.com</t>
        </is>
      </c>
      <c r="K44" s="5" t="inlineStr">
        <is>
          <t>432071, УЛЬЯНОВСКАЯ ОБЛАСТЬ, Г. УЛЬЯНОВСК, ПР-КТ НАРИМАНОВА, Д. 1, СТР. 2</t>
        </is>
      </c>
      <c r="L44" s="6" t="n">
        <v>1342</v>
      </c>
      <c r="M44" s="6" t="n">
        <v>4645270</v>
      </c>
      <c r="N44" s="6" t="n">
        <v>1006620</v>
      </c>
      <c r="O44" s="6" t="n">
        <v>1265870</v>
      </c>
      <c r="P44" s="5"/>
      <c r="Q44" s="5"/>
    </row>
    <row collapsed="false" customFormat="false" customHeight="false" hidden="false" ht="12.1" outlineLevel="0" r="45">
      <c r="A45" s="4" t="s">
        <f>HYPERLINK("https://www.list-org.com/company/13339078","https://www.list-org.com/company/13339078")</f>
      </c>
      <c r="B45" s="5" t="inlineStr">
        <is>
          <t>ООО "ВБ ТЕХ"</t>
        </is>
      </c>
      <c r="C45" s="5" t="inlineStr">
        <is>
          <t>ОБЩЕСТВО С ОГРАНИЧЕННОЙ ОТВЕТСТВЕННОСТЬЮ "ВБ ТЕХ"</t>
        </is>
      </c>
      <c r="D45" s="5" t="inlineStr">
        <is>
          <t>действующее</t>
        </is>
      </c>
      <c r="E45" s="5" t="inlineStr">
        <is>
          <t>КИМ ИЛЬЯ СТАНИСЛАВОВИЧ</t>
        </is>
      </c>
      <c r="F45" s="5" t="inlineStr">
        <is>
          <t>5003150437</t>
        </is>
      </c>
      <c r="G45" s="5" t="inlineStr">
        <is>
          <t>1225000040583</t>
        </is>
      </c>
      <c r="H45" s="5"/>
      <c r="I45" s="5" t="inlineStr">
        <is>
          <t>vessillifero@ya.ru</t>
        </is>
      </c>
      <c r="J45" s="5"/>
      <c r="K45" s="5" t="inlineStr">
        <is>
          <t>142181, Московская область, ГОРОДСКОЙ ОКРУГ ПОДОЛЬСК, Д КОЛЕДИНО, ТЕР. ИНДУСТРИАЛЬНЫЙ ПАРК КОЛЕДИНО, Д. 6</t>
        </is>
      </c>
      <c r="L45" s="6" t="n">
        <v>1330</v>
      </c>
      <c r="M45" s="6" t="n">
        <v>23392800</v>
      </c>
      <c r="N45" s="6" t="n">
        <v>260887</v>
      </c>
      <c r="O45" s="6" t="n">
        <v>971637</v>
      </c>
      <c r="P45" s="5"/>
      <c r="Q45" s="5"/>
    </row>
    <row collapsed="false" customFormat="false" customHeight="false" hidden="false" ht="12.1" outlineLevel="0" r="46">
      <c r="A46" s="4" t="s">
        <f>HYPERLINK("https://www.list-org.com/company/7935313","https://www.list-org.com/company/7935313")</f>
      </c>
      <c r="B46" s="5" t="inlineStr">
        <is>
          <t>ООО "РТИТС"</t>
        </is>
      </c>
      <c r="C46" s="5" t="inlineStr">
        <is>
          <t>ОБЩЕСТВО С ОГРАНИЧЕННОЙ ОТВЕТСТВЕННОСТЬЮ "РТ-ИНВЕСТ ТРАНСПОРТНЫЕ СИСТЕМЫ"</t>
        </is>
      </c>
      <c r="D46" s="5" t="inlineStr">
        <is>
          <t>действующее</t>
        </is>
      </c>
      <c r="E46" s="5" t="inlineStr">
        <is>
          <t>ЗАМКОВ АНТОН СЕРГЕЕВИЧ</t>
        </is>
      </c>
      <c r="F46" s="5" t="inlineStr">
        <is>
          <t>7704869777</t>
        </is>
      </c>
      <c r="G46" s="5" t="inlineStr">
        <is>
          <t>1147746841340</t>
        </is>
      </c>
      <c r="H46" s="5"/>
      <c r="I46" s="5"/>
      <c r="J46" s="5" t="inlineStr">
        <is>
          <t>http://transyst.ru</t>
        </is>
      </c>
      <c r="K46" s="5" t="inlineStr">
        <is>
          <t>127015, МОСКВА ГОРОД, УЛ. ВЯТСКАЯ, Д. 27, СТР. 16, ЭТАЖ 2 ПОМ I КОМ 16</t>
        </is>
      </c>
      <c r="L46" s="6" t="n">
        <v>1325</v>
      </c>
      <c r="M46" s="6" t="n">
        <v>14702300</v>
      </c>
      <c r="N46" s="6" t="n">
        <v>3677540</v>
      </c>
      <c r="O46" s="6" t="n">
        <v>11141100</v>
      </c>
      <c r="P46" s="5"/>
      <c r="Q46" s="5"/>
    </row>
    <row collapsed="false" customFormat="false" customHeight="false" hidden="false" ht="12.1" outlineLevel="0" r="47">
      <c r="A47" s="4" t="s">
        <f>HYPERLINK("https://www.list-org.com/company/4906689","https://www.list-org.com/company/4906689")</f>
      </c>
      <c r="B47" s="5" t="inlineStr">
        <is>
          <t>ООО "БФТ"</t>
        </is>
      </c>
      <c r="C47" s="5" t="inlineStr">
        <is>
          <t>ОБЩЕСТВО С ОГРАНИЧЕННОЙ ОТВЕТСТВЕННОСТЬЮ "БЮДЖЕТНЫЕ И ФИНАНСОВЫЕ ТЕХНОЛОГИИ"</t>
        </is>
      </c>
      <c r="D47" s="5" t="inlineStr">
        <is>
          <t>действующее</t>
        </is>
      </c>
      <c r="E47" s="5" t="inlineStr">
        <is>
          <t>МОНОСОВ АЛЕКСАНДР НАУМОВИЧ</t>
        </is>
      </c>
      <c r="F47" s="5" t="inlineStr">
        <is>
          <t>7706673610</t>
        </is>
      </c>
      <c r="G47" s="5" t="inlineStr">
        <is>
          <t>1077762072497</t>
        </is>
      </c>
      <c r="H47" s="5" t="inlineStr">
        <is>
          <t>+7 (472) 240-01-84</t>
        </is>
      </c>
      <c r="I47" s="5" t="inlineStr">
        <is>
          <t>law@bftcom.com, law@bft.ru</t>
        </is>
      </c>
      <c r="J47" s="5" t="inlineStr">
        <is>
          <t>http://bd-t.ru</t>
        </is>
      </c>
      <c r="K47" s="5" t="inlineStr">
        <is>
          <t>308001, БЕЛГОРОДСКАЯ ОБЛАСТЬ, Г. БЕЛГОРОД, ПЛ. ЛИТВИНОВА, Д.9, ПОМЕЩЕНИЕ 1,2,3,4,5,7,8</t>
        </is>
      </c>
      <c r="L47" s="6" t="n">
        <v>1293</v>
      </c>
      <c r="M47" s="6" t="n">
        <v>11773500</v>
      </c>
      <c r="N47" s="6" t="n">
        <v>-168439</v>
      </c>
      <c r="O47" s="6" t="n">
        <v>2197280</v>
      </c>
      <c r="P47" s="5"/>
      <c r="Q47" s="5"/>
    </row>
    <row collapsed="false" customFormat="false" customHeight="false" hidden="false" ht="12.1" outlineLevel="0" r="48">
      <c r="A48" s="4" t="s">
        <f>HYPERLINK("https://www.list-org.com/company/576457","https://www.list-org.com/company/576457")</f>
      </c>
      <c r="B48" s="5" t="inlineStr">
        <is>
          <t>ООО "ГАЗИНФОРМСЕРВИС"</t>
        </is>
      </c>
      <c r="C48" s="5" t="inlineStr">
        <is>
          <t>ОБЩЕСТВО С ОГРАНИЧЕННОЙ ОТВЕТСТВЕННОСТЬЮ "ГАЗИНФОРМСЕРВИС"</t>
        </is>
      </c>
      <c r="D48" s="5" t="inlineStr">
        <is>
          <t>действующее</t>
        </is>
      </c>
      <c r="E48" s="5" t="inlineStr">
        <is>
          <t>ГЛЫБОВСКИЙ СЕРГЕЙ ИОСИФОВИЧ</t>
        </is>
      </c>
      <c r="F48" s="5" t="inlineStr">
        <is>
          <t>7838017968</t>
        </is>
      </c>
      <c r="G48" s="5" t="inlineStr">
        <is>
          <t>1047833006099</t>
        </is>
      </c>
      <c r="H48" s="5" t="inlineStr">
        <is>
          <t>+7 (812) 784-65-61</t>
        </is>
      </c>
      <c r="I48" s="5" t="inlineStr">
        <is>
          <t>resp@gaz-is.ru</t>
        </is>
      </c>
      <c r="J48" s="5" t="inlineStr">
        <is>
          <t>www.gaz-is.ru</t>
        </is>
      </c>
      <c r="K48" s="5" t="inlineStr">
        <is>
          <t>198096, Г.САНКТ-ПЕТЕРБУРГ, УЛ. КРОНШТАДТСКАЯ, Д. 10, ЛИТЕРА А</t>
        </is>
      </c>
      <c r="L48" s="6" t="n">
        <v>1272</v>
      </c>
      <c r="M48" s="6" t="n">
        <v>33327300</v>
      </c>
      <c r="N48" s="6" t="n">
        <v>6716880</v>
      </c>
      <c r="O48" s="6" t="n">
        <v>21921000</v>
      </c>
      <c r="P48" s="5"/>
      <c r="Q48" s="5"/>
    </row>
    <row collapsed="false" customFormat="false" customHeight="false" hidden="false" ht="12.1" outlineLevel="0" r="49">
      <c r="A49" s="4" t="s">
        <f>HYPERLINK("https://www.list-org.com/company/11617487","https://www.list-org.com/company/11617487")</f>
      </c>
      <c r="B49" s="5" t="inlineStr">
        <is>
          <t>ООО "СИБУР ДИДЖИТАЛ"</t>
        </is>
      </c>
      <c r="C49" s="5" t="inlineStr">
        <is>
          <t>ОБЩЕСТВО С ОГРАНИЧЕННОЙ ОТВЕТСТВЕННОСТЬЮ "СИБУР ДИДЖИТАЛ"</t>
        </is>
      </c>
      <c r="D49" s="5" t="inlineStr">
        <is>
          <t>действующее</t>
        </is>
      </c>
      <c r="E49" s="5" t="inlineStr">
        <is>
          <t>ЮДАКОВ ДЕНИС АНАТОЛЬЕВИЧ</t>
        </is>
      </c>
      <c r="F49" s="5" t="inlineStr">
        <is>
          <t>7206057388</t>
        </is>
      </c>
      <c r="G49" s="5" t="inlineStr">
        <is>
          <t>1177232031701</t>
        </is>
      </c>
      <c r="H49" s="5" t="inlineStr">
        <is>
          <t>+7 (495) 777-55-00</t>
        </is>
      </c>
      <c r="I49" s="5"/>
      <c r="J49" s="5"/>
      <c r="K49" s="5" t="inlineStr">
        <is>
          <t>626150, ТЮМЕНСКАЯ ОБЛАСТЬ, Г. ТОБОЛЬСК, ТЕР ВОСТОЧНЫЙ ПРОМЫШЛЕННЫЙ РАЙОН-КВАРТАЛ 5, ВЛД 2, СТР. 25, КАБИНЕТ 213</t>
        </is>
      </c>
      <c r="L49" s="6" t="n">
        <v>1264</v>
      </c>
      <c r="M49" s="6" t="n">
        <v>9258440</v>
      </c>
      <c r="N49" s="6" t="n">
        <v>888124</v>
      </c>
      <c r="O49" s="6" t="n">
        <v>1950720</v>
      </c>
      <c r="P49" s="5"/>
      <c r="Q49" s="5"/>
    </row>
    <row collapsed="false" customFormat="false" customHeight="false" hidden="false" ht="12.1" outlineLevel="0" r="50">
      <c r="A50" s="4" t="s">
        <f>HYPERLINK("https://www.list-org.com/company/6523215","https://www.list-org.com/company/6523215")</f>
      </c>
      <c r="B50" s="5" t="inlineStr">
        <is>
          <t>ООО "ИБС Софт"</t>
        </is>
      </c>
      <c r="C50" s="5" t="inlineStr">
        <is>
          <t>ОБЩЕСТВО С ОГРАНИЧЕННОЙ ОТВЕТСТВЕННОСТЬЮ "ИБС Софт"</t>
        </is>
      </c>
      <c r="D50" s="5" t="inlineStr">
        <is>
          <t>действующее</t>
        </is>
      </c>
      <c r="E50" s="5" t="inlineStr">
        <is>
          <t>ЭЙДЕЛАНД ПАВЕЛ ВАДИМОВИЧ</t>
        </is>
      </c>
      <c r="F50" s="5" t="inlineStr">
        <is>
          <t>7713721689</t>
        </is>
      </c>
      <c r="G50" s="5" t="inlineStr">
        <is>
          <t>1117746016013</t>
        </is>
      </c>
      <c r="H50" s="5" t="inlineStr">
        <is>
          <t>+7 (495) 967-80-80</t>
        </is>
      </c>
      <c r="I50" s="5" t="inlineStr">
        <is>
          <t>tendersoft@ibs.ru</t>
        </is>
      </c>
      <c r="J50" s="5"/>
      <c r="K50" s="5" t="inlineStr">
        <is>
          <t>127434, Г.МОСКВА, Ш. ДМИТРОВСКОЕ, Д. 9Б, ЭТ 5 ПОМ XIII КОМ 14</t>
        </is>
      </c>
      <c r="L50" s="6" t="n">
        <v>1254</v>
      </c>
      <c r="M50" s="6" t="n">
        <v>6485820</v>
      </c>
      <c r="N50" s="6" t="n">
        <v>44067</v>
      </c>
      <c r="O50" s="6" t="n">
        <v>1954580</v>
      </c>
      <c r="P50" s="5"/>
      <c r="Q50" s="5"/>
    </row>
    <row collapsed="false" customFormat="false" customHeight="false" hidden="false" ht="12.1" outlineLevel="0" r="51">
      <c r="A51" s="4" t="s">
        <f>HYPERLINK("https://www.list-org.com/company/5822273","https://www.list-org.com/company/5822273")</f>
      </c>
      <c r="B51" s="5" t="inlineStr">
        <is>
          <t>ООО "ЭйТи Консалтинг"</t>
        </is>
      </c>
      <c r="C51" s="5" t="inlineStr">
        <is>
          <t>ОБЩЕСТВО С ОГРАНИЧЕННОЙ ОТВЕТСТВЕННОСТЬЮ "Эдвансед Трансформейшн Консалтинг"</t>
        </is>
      </c>
      <c r="D51" s="5" t="inlineStr">
        <is>
          <t>действующее</t>
        </is>
      </c>
      <c r="E51" s="5" t="inlineStr">
        <is>
          <t>МАТЯШ ИВАН ИВАНОВИЧ</t>
        </is>
      </c>
      <c r="F51" s="5" t="inlineStr">
        <is>
          <t>7715744096</t>
        </is>
      </c>
      <c r="G51" s="5" t="inlineStr">
        <is>
          <t>1097746010559</t>
        </is>
      </c>
      <c r="H51" s="5" t="inlineStr">
        <is>
          <t>+7 (495) 748-05-75</t>
        </is>
      </c>
      <c r="I51" s="5"/>
      <c r="J51" s="5"/>
      <c r="K51" s="5" t="inlineStr">
        <is>
          <t>127015, МОСКВА ГОРОД, УЛИЦА НОВОДМИТРОВСКАЯ Б., Д. 14, СТР. 7, ОФИС 523</t>
        </is>
      </c>
      <c r="L51" s="6" t="n">
        <v>1213</v>
      </c>
      <c r="M51" s="6" t="n">
        <v>5098800</v>
      </c>
      <c r="N51" s="6" t="n">
        <v>85251</v>
      </c>
      <c r="O51" s="6" t="n">
        <v>1104430</v>
      </c>
      <c r="P51" s="5"/>
      <c r="Q51" s="5"/>
    </row>
    <row collapsed="false" customFormat="false" customHeight="false" hidden="false" ht="12.1" outlineLevel="0" r="52">
      <c r="A52" s="4" t="s">
        <f>HYPERLINK("https://www.list-org.com/company/11924593","https://www.list-org.com/company/11924593")</f>
      </c>
      <c r="B52" s="5" t="inlineStr">
        <is>
          <t>ООО "Т1 ИННОВАЦИИ"</t>
        </is>
      </c>
      <c r="C52" s="5" t="inlineStr">
        <is>
          <t>ОБЩЕСТВО С ОГРАНИЧЕННОЙ ОТВЕТСТВЕННОСТЬЮ "Т1 ИННОВАЦИИ"</t>
        </is>
      </c>
      <c r="D52" s="5" t="inlineStr">
        <is>
          <t>действующее</t>
        </is>
      </c>
      <c r="E52" s="5" t="inlineStr">
        <is>
          <t>БУЛГАКОВ КИРИЛЛ АЛЕКСЕЕВИЧ</t>
        </is>
      </c>
      <c r="F52" s="5" t="inlineStr">
        <is>
          <t>9718107268</t>
        </is>
      </c>
      <c r="G52" s="5" t="inlineStr">
        <is>
          <t>1187746683519</t>
        </is>
      </c>
      <c r="H52" s="5" t="inlineStr">
        <is>
          <t>+7 (495) 981-92-92</t>
        </is>
      </c>
      <c r="I52" s="5" t="inlineStr">
        <is>
          <t>igrigoriev@tsconsulting.com, tolshevskaya@tsconsulting.com, ykuznetsova@tsconsulting.com, torg_tvc@t1-consulting.ru</t>
        </is>
      </c>
      <c r="J52" s="5"/>
      <c r="K52" s="5" t="inlineStr">
        <is>
          <t>115280, Г.МОСКВА, МУНИЦИПАЛЬНЫЙ ОКРУГ ДАНИЛОВСКИЙ, УЛ ЛЕНИНСКАЯ СЛОБОДА, Д. 19, ПОМЕЩ. 42/3</t>
        </is>
      </c>
      <c r="L52" s="6" t="n">
        <v>1150</v>
      </c>
      <c r="M52" s="6" t="n">
        <v>1844350</v>
      </c>
      <c r="N52" s="6" t="n">
        <v>-1608930</v>
      </c>
      <c r="O52" s="6" t="n">
        <v>-2628730</v>
      </c>
      <c r="P52" s="5"/>
      <c r="Q52" s="5"/>
    </row>
    <row collapsed="false" customFormat="false" customHeight="false" hidden="false" ht="12.1" outlineLevel="0" r="53">
      <c r="A53" s="4" t="s">
        <f>HYPERLINK("https://www.list-org.com/company/12843248","https://www.list-org.com/company/12843248")</f>
      </c>
      <c r="B53" s="5" t="inlineStr">
        <is>
          <t>ООО "ПОЧТАТЕХ"</t>
        </is>
      </c>
      <c r="C53" s="5" t="inlineStr">
        <is>
          <t>ОБЩЕСТВО С ОГРАНИЧЕННОЙ ОТВЕТСТВЕННОСТЬЮ "ПОЧТОВЫЕ ТЕХНОЛОГИИ"</t>
        </is>
      </c>
      <c r="D53" s="5" t="inlineStr">
        <is>
          <t>действующее</t>
        </is>
      </c>
      <c r="E53" s="5"/>
      <c r="F53" s="5" t="inlineStr">
        <is>
          <t>9729303666</t>
        </is>
      </c>
      <c r="G53" s="5" t="inlineStr">
        <is>
          <t>1207700502074</t>
        </is>
      </c>
      <c r="H53" s="5" t="inlineStr">
        <is>
          <t>+7 (495) 956-20-67</t>
        </is>
      </c>
      <c r="I53" s="5" t="inlineStr">
        <is>
          <t>office@pochta.tech, ptoffice@russianpost.ru, pershina.e@russianpost.ru, z.nurislamova@russianpost.ru</t>
        </is>
      </c>
      <c r="J53" s="5"/>
      <c r="K53" s="5" t="inlineStr">
        <is>
          <t>125252, Г.Москва, ВНУТРИГОРОДСКАЯ ТЕРРИТОРИЯ ГОРОДА ФЕДЕРАЛЬНОГО ЗНАЧЕНИЯ МУНИЦИПАЛЬНЫЙ ОКРУГ ХОРОШЕВСКИЙ, УЛ 3-Я ПЕСЧАНАЯ, Д. 2А</t>
        </is>
      </c>
      <c r="L53" s="6" t="n">
        <v>1145</v>
      </c>
      <c r="M53" s="6" t="n">
        <v>8631420</v>
      </c>
      <c r="N53" s="6" t="n">
        <v>284815</v>
      </c>
      <c r="O53" s="6" t="n">
        <v>271927</v>
      </c>
      <c r="P53" s="5"/>
      <c r="Q53" s="5"/>
    </row>
    <row collapsed="false" customFormat="false" customHeight="false" hidden="false" ht="12.1" outlineLevel="0" r="54">
      <c r="A54" s="4" t="s">
        <f>HYPERLINK("https://www.list-org.com/company/12941082","https://www.list-org.com/company/12941082")</f>
      </c>
      <c r="B54" s="5" t="inlineStr">
        <is>
          <t>ООО "ГПБ-ИТ1"</t>
        </is>
      </c>
      <c r="C54" s="5" t="inlineStr">
        <is>
          <t>ОБЩЕСТВО С ОГРАНИЧЕННОЙ ОТВЕТСТВЕННОСТЬЮ "ГПБ-ИТ1"</t>
        </is>
      </c>
      <c r="D54" s="5" t="inlineStr">
        <is>
          <t>действующее</t>
        </is>
      </c>
      <c r="E54" s="5" t="inlineStr">
        <is>
          <t>ЛИСНЕВСКИЙ АНДРЕЙ МИХАЙЛОВИЧ</t>
        </is>
      </c>
      <c r="F54" s="5" t="inlineStr">
        <is>
          <t>9717102235</t>
        </is>
      </c>
      <c r="G54" s="5" t="inlineStr">
        <is>
          <t>1217700240504</t>
        </is>
      </c>
      <c r="H54" s="5"/>
      <c r="I54" s="5" t="inlineStr">
        <is>
          <t>info@it-one.ru</t>
        </is>
      </c>
      <c r="J54" s="5"/>
      <c r="K54" s="5" t="inlineStr">
        <is>
          <t>129085, Г.МОСКВА, МУНИЦИПАЛЬНЫЙ ОКРУГ ОСТАНКИНСКИЙ, ПР-КТ МИРА, Д. 95,СТР. 1, СТР. 1, ПОМЕЩ. 1/1</t>
        </is>
      </c>
      <c r="L54" s="6" t="n">
        <v>1127</v>
      </c>
      <c r="M54" s="6" t="n">
        <v>5649840</v>
      </c>
      <c r="N54" s="6" t="n">
        <v>59040</v>
      </c>
      <c r="O54" s="6" t="n">
        <v>66814</v>
      </c>
      <c r="P54" s="5"/>
      <c r="Q54" s="5"/>
    </row>
    <row collapsed="false" customFormat="false" customHeight="false" hidden="false" ht="12.1" outlineLevel="0" r="55">
      <c r="A55" s="4" t="s">
        <f>HYPERLINK("https://www.list-org.com/company/82714","https://www.list-org.com/company/82714")</f>
      </c>
      <c r="B55" s="5" t="inlineStr">
        <is>
          <t>ООО "ОЦРВ"</t>
        </is>
      </c>
      <c r="C55" s="5" t="inlineStr">
        <is>
          <t>ОБЩЕСТВО С ОГРАНИЧЕННОЙ ОТВЕТСТВЕННОСТЬЮ "Отраслевой центр разработки и внедрения информационных систем"</t>
        </is>
      </c>
      <c r="D55" s="5" t="inlineStr">
        <is>
          <t>действующее</t>
        </is>
      </c>
      <c r="E55" s="5"/>
      <c r="F55" s="5" t="inlineStr">
        <is>
          <t>5042060280</t>
        </is>
      </c>
      <c r="G55" s="5" t="inlineStr">
        <is>
          <t>1025005327104</t>
        </is>
      </c>
      <c r="H55" s="5" t="inlineStr">
        <is>
          <t>+7 (499) 504-01-85</t>
        </is>
      </c>
      <c r="I55" s="5" t="inlineStr">
        <is>
          <t>alexey.favinskiy@ocrv.ru, elena.maslennikova@ocrv.ru, larisa.glebova@ocrv.ru, nataliya.alekseeva@ocrv.ru, info@ocrv.ru, zhanna.zaharova@ocrv.ru</t>
        </is>
      </c>
      <c r="J55" s="5" t="inlineStr">
        <is>
          <t>www.ocrv.ru</t>
        </is>
      </c>
      <c r="K55" s="5" t="inlineStr">
        <is>
          <t>107078, МОСКВА ГОРОД, УЛИЦА КАЛАНЧЕВСКАЯ, Д. 13, КОМ. 1</t>
        </is>
      </c>
      <c r="L55" s="6" t="n">
        <v>1111</v>
      </c>
      <c r="M55" s="6" t="n">
        <v>5743540</v>
      </c>
      <c r="N55" s="6" t="n">
        <v>274457</v>
      </c>
      <c r="O55" s="6" t="n">
        <v>1158910</v>
      </c>
      <c r="P55" s="5"/>
      <c r="Q55" s="5"/>
    </row>
    <row collapsed="false" customFormat="false" customHeight="false" hidden="false" ht="12.1" outlineLevel="0" r="56">
      <c r="A56" s="4" t="s">
        <f>HYPERLINK("https://www.list-org.com/company/11824088","https://www.list-org.com/company/11824088")</f>
      </c>
      <c r="B56" s="5" t="inlineStr">
        <is>
          <t>ООО "ИНСТАМАРТ ТЕХНОЛОДЖИС"</t>
        </is>
      </c>
      <c r="C56" s="5" t="inlineStr">
        <is>
          <t>ОБЩЕСТВО С ОГРАНИЧЕННОЙ ОТВЕТСТВЕННОСТЬЮ "ИНСТАМАРТ ТЕХНОЛОДЖИС"</t>
        </is>
      </c>
      <c r="D56" s="5" t="inlineStr">
        <is>
          <t>действующее</t>
        </is>
      </c>
      <c r="E56" s="5" t="inlineStr">
        <is>
          <t>ГЕНЕРАЛЬНЫЙ ДИРЕКТОР КУРМАНГУЖИН АСАН ЖАСУЛАНОВИЧ</t>
        </is>
      </c>
      <c r="F56" s="5" t="inlineStr">
        <is>
          <t>9705118150</t>
        </is>
      </c>
      <c r="G56" s="5" t="inlineStr">
        <is>
          <t>1187746495760</t>
        </is>
      </c>
      <c r="H56" s="5"/>
      <c r="I56" s="5"/>
      <c r="J56" s="5"/>
      <c r="K56" s="5" t="inlineStr">
        <is>
          <t>141425, МОСКОВСКАЯ ОБЛАСТЬ, ХИМКИ, Г. ХИМКИ, Г ХИМКИ, УЛ АВИАЦИОННАЯ, ВЛД. 8, ПОМЕЩ. 606</t>
        </is>
      </c>
      <c r="L56" s="6" t="n">
        <v>1110</v>
      </c>
      <c r="M56" s="6" t="n">
        <v>4336190</v>
      </c>
      <c r="N56" s="6" t="n">
        <v>-326086</v>
      </c>
      <c r="O56" s="6" t="n">
        <v>3038280</v>
      </c>
      <c r="P56" s="5"/>
      <c r="Q56" s="5"/>
    </row>
    <row collapsed="false" customFormat="false" customHeight="false" hidden="false" ht="12.1" outlineLevel="0" r="57">
      <c r="A57" s="4" t="s">
        <f>HYPERLINK("https://www.list-org.com/company/3867799","https://www.list-org.com/company/3867799")</f>
      </c>
      <c r="B57" s="5" t="inlineStr">
        <is>
          <t>ООО "СБЕРКОРУС"</t>
        </is>
      </c>
      <c r="C57" s="5" t="inlineStr">
        <is>
          <t>ОБЩЕСТВО С ОГРАНИЧЕННОЙ ОТВЕТСТВЕННОСТЬЮ "СБЕРКОРУС"</t>
        </is>
      </c>
      <c r="D57" s="5" t="inlineStr">
        <is>
          <t>действующее</t>
        </is>
      </c>
      <c r="E57" s="5" t="inlineStr">
        <is>
          <t>ТАРАСОВ ВИТАЛИЙ ГЕННАДЬЕВИЧ</t>
        </is>
      </c>
      <c r="F57" s="5" t="inlineStr">
        <is>
          <t>7801392271</t>
        </is>
      </c>
      <c r="G57" s="5" t="inlineStr">
        <is>
          <t>1057812752502</t>
        </is>
      </c>
      <c r="H57" s="5" t="inlineStr">
        <is>
          <t>+7 (800) 100-88-12</t>
        </is>
      </c>
      <c r="I57" s="5" t="inlineStr">
        <is>
          <t>help@esphere.ru</t>
        </is>
      </c>
      <c r="J57" s="5" t="inlineStr">
        <is>
          <t>https://www.esphere.ru</t>
        </is>
      </c>
      <c r="K57" s="5" t="inlineStr">
        <is>
          <t>192007, Г.Санкт-Петербург, ВНУТРИГОРОДСКАЯ ТЕРРИТОРИЯ ГОРОДА ФЕДЕРАЛЬНОГО ЗНАЧЕНИЯ МУНИЦИПАЛЬНЫЙ ОКРУГ ВОЛКОВСКОЕ, НАБ ОБВОДНОГО КАНАЛА, Д. 60, ПОМЕЩ. 1-Н</t>
        </is>
      </c>
      <c r="L57" s="6" t="n">
        <v>1079</v>
      </c>
      <c r="M57" s="6" t="n">
        <v>3321200</v>
      </c>
      <c r="N57" s="6" t="n">
        <v>207118</v>
      </c>
      <c r="O57" s="6" t="n">
        <v>2141720</v>
      </c>
      <c r="P57" s="5"/>
      <c r="Q57" s="5"/>
    </row>
    <row collapsed="false" customFormat="false" customHeight="false" hidden="false" ht="12.1" outlineLevel="0" r="58">
      <c r="A58" s="4" t="s">
        <f>HYPERLINK("https://www.list-org.com/company/6628612","https://www.list-org.com/company/6628612")</f>
      </c>
      <c r="B58" s="5" t="inlineStr">
        <is>
          <t>ООО "ДГ-Софт"</t>
        </is>
      </c>
      <c r="C58" s="5" t="inlineStr">
        <is>
          <t>ОБЩЕСТВО С ОГРАНИЧЕННОЙ ОТВЕТСТВЕННОСТЬЮ "ДГ-Софт"</t>
        </is>
      </c>
      <c r="D58" s="5" t="inlineStr">
        <is>
          <t>действующее</t>
        </is>
      </c>
      <c r="E58" s="5" t="inlineStr">
        <is>
          <t>БЕРХИН БОРИС ЮРЬЕВИЧ</t>
        </is>
      </c>
      <c r="F58" s="5" t="inlineStr">
        <is>
          <t>5408287824</t>
        </is>
      </c>
      <c r="G58" s="5" t="inlineStr">
        <is>
          <t>1115476062460</t>
        </is>
      </c>
      <c r="H58" s="5" t="inlineStr">
        <is>
          <t>+7 (913) 915-27-35</t>
        </is>
      </c>
      <c r="I58" s="5" t="inlineStr">
        <is>
          <t>n.torubarova@2gis.ru</t>
        </is>
      </c>
      <c r="J58" s="5" t="inlineStr">
        <is>
          <t>dg-soft.ru</t>
        </is>
      </c>
      <c r="K58" s="5" t="inlineStr">
        <is>
          <t>630090, НОВОСИБИРСКАЯ ОБЛАСТЬ, Г. НОВОСИБИРСК, УЛ. НИКОЛАЕВА, Д. 11, ЭТАЖ 8</t>
        </is>
      </c>
      <c r="L58" s="6" t="n">
        <v>1047</v>
      </c>
      <c r="M58" s="6" t="n">
        <v>2227470</v>
      </c>
      <c r="N58" s="6" t="n">
        <v>40742</v>
      </c>
      <c r="O58" s="6" t="n">
        <v>183912</v>
      </c>
      <c r="P58" s="5"/>
      <c r="Q58" s="5"/>
    </row>
    <row collapsed="false" customFormat="false" customHeight="false" hidden="false" ht="12.1" outlineLevel="0" r="59">
      <c r="A59" s="4" t="s">
        <f>HYPERLINK("https://www.list-org.com/company/14009","https://www.list-org.com/company/14009")</f>
      </c>
      <c r="B59" s="5" t="inlineStr">
        <is>
          <t>АО "НИИАА"</t>
        </is>
      </c>
      <c r="C59" s="5" t="inlineStr">
        <is>
          <t>АКЦИОНЕРНОЕ ОБЩЕСТВО "ОРДЕНА ТРУДОВОГО КРАСНОГО ЗНАМЕНИ НАУЧНО-ИССЛЕДОВАТЕЛЬСКИЙ ИНСТИТУТ АВТОМАТИЧЕСКОЙ АППАРАТУРЫ ИМ. АКАДЕМИКА В.С. СЕМЕНИХИНА"</t>
        </is>
      </c>
      <c r="D59" s="5" t="inlineStr">
        <is>
          <t>действующее</t>
        </is>
      </c>
      <c r="E59" s="5" t="inlineStr">
        <is>
          <t>ГРИШИН СЕРГЕЙ ЕВГЕНЬЕВИЧ</t>
        </is>
      </c>
      <c r="F59" s="5" t="inlineStr">
        <is>
          <t>7728795443</t>
        </is>
      </c>
      <c r="G59" s="5" t="inlineStr">
        <is>
          <t>1127746009500</t>
        </is>
      </c>
      <c r="H59" s="5" t="inlineStr">
        <is>
          <t>+7 (495) 330-52-22</t>
        </is>
      </c>
      <c r="I59" s="5" t="inlineStr">
        <is>
          <t>buh-niiaa@yadex.ru, buh-niiaa@yandex.ru, info@niiaa.ru, sherbakov@niiaa.ru</t>
        </is>
      </c>
      <c r="J59" s="5" t="inlineStr">
        <is>
          <t>niiaa.ru</t>
        </is>
      </c>
      <c r="K59" s="5" t="inlineStr">
        <is>
          <t>117393, Г.МОСКВА, УЛ. ПРОФСОЮЗНАЯ, Д. 78</t>
        </is>
      </c>
      <c r="L59" s="6" t="n">
        <v>1039</v>
      </c>
      <c r="M59" s="6" t="n">
        <v>1851180</v>
      </c>
      <c r="N59" s="6" t="n">
        <v>16900</v>
      </c>
      <c r="O59" s="6" t="n">
        <v>1977980</v>
      </c>
      <c r="P59" s="5"/>
      <c r="Q59" s="5"/>
    </row>
    <row collapsed="false" customFormat="false" customHeight="false" hidden="false" ht="12.1" outlineLevel="0" r="60">
      <c r="A60" s="4" t="s">
        <f>HYPERLINK("https://www.list-org.com/company/2619528","https://www.list-org.com/company/2619528")</f>
      </c>
      <c r="B60" s="5" t="inlineStr">
        <is>
          <t>ООО "СОФТЛАЙН ИНТЕГРАЦИЯ"</t>
        </is>
      </c>
      <c r="C60" s="5" t="inlineStr">
        <is>
          <t>ОБЩЕСТВО С ОГРАНИЧЕННОЙ ОТВЕТСТВЕННОСТЬЮ "СОФТЛАЙН ИНТЕГРАЦИЯ"</t>
        </is>
      </c>
      <c r="D60" s="5" t="inlineStr">
        <is>
          <t>действующее</t>
        </is>
      </c>
      <c r="E60" s="5" t="inlineStr">
        <is>
          <t>КОТУСОВ ВЛАДИСЛАВ ВАЛЕНТИНОВИЧ</t>
        </is>
      </c>
      <c r="F60" s="5" t="inlineStr">
        <is>
          <t>7725289865</t>
        </is>
      </c>
      <c r="G60" s="5" t="inlineStr">
        <is>
          <t>1157746880862</t>
        </is>
      </c>
      <c r="H60" s="5" t="inlineStr">
        <is>
          <t>+7 (495) 972-92-71</t>
        </is>
      </c>
      <c r="I60" s="5"/>
      <c r="J60" s="5"/>
      <c r="K60" s="5" t="inlineStr">
        <is>
          <t>115114, Г.МОСКВА, НАБ ДЕРБЕНЕВСКАЯ, Д. 7, СТР. 9</t>
        </is>
      </c>
      <c r="L60" s="6" t="n">
        <v>1039</v>
      </c>
      <c r="M60" s="6" t="n">
        <v>4347780</v>
      </c>
      <c r="N60" s="6" t="n">
        <v>5274</v>
      </c>
      <c r="O60" s="6" t="n">
        <v>24121</v>
      </c>
      <c r="P60" s="5"/>
      <c r="Q60" s="5"/>
    </row>
    <row collapsed="false" customFormat="false" customHeight="false" hidden="false" ht="12.1" outlineLevel="0" r="61">
      <c r="A61" s="4" t="s">
        <f>HYPERLINK("https://www.list-org.com/company/982773","https://www.list-org.com/company/982773")</f>
      </c>
      <c r="B61" s="5" t="inlineStr">
        <is>
          <t>АО "ИНФОТЕКС"</t>
        </is>
      </c>
      <c r="C61" s="5" t="inlineStr">
        <is>
          <t>АКЦИОНЕРНОЕ ОБЩЕСТВО "ИНФОРМАЦИОННЫЕ ТЕХНОЛОГИИ И КОММУНИКАЦИОННЫЕ СИСТЕМЫ"</t>
        </is>
      </c>
      <c r="D61" s="5" t="inlineStr">
        <is>
          <t>действующее</t>
        </is>
      </c>
      <c r="E61" s="5" t="inlineStr">
        <is>
          <t>ЧАПЧАЕВ АНДРЕЙ АНАТОЛЬЕВИЧ</t>
        </is>
      </c>
      <c r="F61" s="5" t="inlineStr">
        <is>
          <t>7710013769</t>
        </is>
      </c>
      <c r="G61" s="5" t="inlineStr">
        <is>
          <t>1027739185066</t>
        </is>
      </c>
      <c r="H61" s="5" t="inlineStr">
        <is>
          <t>+7 (495) 737-61-92</t>
        </is>
      </c>
      <c r="I61" s="5" t="inlineStr">
        <is>
          <t>soft@infotecs.ru</t>
        </is>
      </c>
      <c r="J61" s="5"/>
      <c r="K61" s="5" t="inlineStr">
        <is>
          <t>125167, Г.МОСКВА, МУНИЦИПАЛЬНЫЙ ОКРУГ ХОРОШЕВСКИЙ, УЛ ВИКТОРЕНКО, Д. 9,СТР. 1, СТР. 1, ПОМЕЩ. 47</t>
        </is>
      </c>
      <c r="L61" s="6" t="n">
        <v>1025</v>
      </c>
      <c r="M61" s="6" t="n">
        <v>5860180</v>
      </c>
      <c r="N61" s="6" t="n">
        <v>681376</v>
      </c>
      <c r="O61" s="6" t="n">
        <v>4787160</v>
      </c>
      <c r="P61" s="5"/>
      <c r="Q61" s="5"/>
    </row>
    <row collapsed="false" customFormat="false" customHeight="false" hidden="false" ht="12.1" outlineLevel="0" r="62">
      <c r="A62" s="4" t="s">
        <f>HYPERLINK("https://www.list-org.com/company/4868530","https://www.list-org.com/company/4868530")</f>
      </c>
      <c r="B62" s="5" t="inlineStr">
        <is>
          <t>АО "ПОЗИТИВ ТЕКНОЛОДЖИЗ"</t>
        </is>
      </c>
      <c r="C62" s="5" t="inlineStr">
        <is>
          <t>АКЦИОНЕРНОЕ ОБЩЕСТВО "ПОЗИТИВ ТЕКНОЛОДЖИЗ"</t>
        </is>
      </c>
      <c r="D62" s="5" t="inlineStr">
        <is>
          <t>действующее</t>
        </is>
      </c>
      <c r="E62" s="5" t="inlineStr">
        <is>
          <t>БАРАНОВ ДЕНИС СЕРГЕЕВИЧ</t>
        </is>
      </c>
      <c r="F62" s="5" t="inlineStr">
        <is>
          <t>7718668887</t>
        </is>
      </c>
      <c r="G62" s="5" t="inlineStr">
        <is>
          <t>1077761087117</t>
        </is>
      </c>
      <c r="H62" s="5" t="inlineStr">
        <is>
          <t>+7 (495) 744-01-44</t>
        </is>
      </c>
      <c r="I62" s="5" t="inlineStr">
        <is>
          <t>pt@ptsecurity.com</t>
        </is>
      </c>
      <c r="J62" s="5" t="inlineStr">
        <is>
          <t>http://ptsecurity.com</t>
        </is>
      </c>
      <c r="K62" s="5" t="inlineStr">
        <is>
          <t>107061, Г.МОСКВА, МУНИЦИПАЛЬНЫЙ ОКРУГ ПРЕОБРАЖЕНСКОЕ, ПЛ ПРЕОБРАЖЕНСКАЯ, Д. 8, ПОМЕЩ. 60</t>
        </is>
      </c>
      <c r="L62" s="6" t="n">
        <v>1019</v>
      </c>
      <c r="M62" s="6" t="n">
        <v>23151500</v>
      </c>
      <c r="N62" s="6" t="n">
        <v>11304300</v>
      </c>
      <c r="O62" s="6" t="n">
        <v>11237700</v>
      </c>
      <c r="P62" s="5"/>
      <c r="Q62" s="5"/>
    </row>
    <row collapsed="false" customFormat="false" customHeight="false" hidden="false" ht="12.1" outlineLevel="0" r="63">
      <c r="A63" s="4" t="s">
        <f>HYPERLINK("https://www.list-org.com/company/8196893","https://www.list-org.com/company/8196893")</f>
      </c>
      <c r="B63" s="5" t="inlineStr">
        <is>
          <t>АО "РАСУ"</t>
        </is>
      </c>
      <c r="C63" s="5" t="inlineStr">
        <is>
          <t>АКЦИОНЕРНОЕ ОБЩЕСТВО "РОСАТОМ АВТОМАТИЗИРОВАННЫЕ СИСТЕМЫ УПРАВЛЕНИЯ"</t>
        </is>
      </c>
      <c r="D63" s="5" t="inlineStr">
        <is>
          <t>действующее</t>
        </is>
      </c>
      <c r="E63" s="5" t="inlineStr">
        <is>
          <t>БУТКО АНДРЕЙ БОРИСОВИЧ</t>
        </is>
      </c>
      <c r="F63" s="5" t="inlineStr">
        <is>
          <t>7734358970</t>
        </is>
      </c>
      <c r="G63" s="5" t="inlineStr">
        <is>
          <t>1157746687383</t>
        </is>
      </c>
      <c r="H63" s="5" t="inlineStr">
        <is>
          <t>+7 (499) 198-97-64</t>
        </is>
      </c>
      <c r="I63" s="5" t="inlineStr">
        <is>
          <t>anigglobina@rasu.ru, elvagromova@rasu.ru, info@rasu.ru, mvlbezenkov@rasu.ru, naakhvostenkova@rasu.ru</t>
        </is>
      </c>
      <c r="J63" s="5"/>
      <c r="K63" s="5" t="inlineStr">
        <is>
          <t>115230, Г.МОСКВА, Ш. КАШИРСКОЕ, Д. 3К2СТР16, ЭТАЖ 6, КАБ. 6.02</t>
        </is>
      </c>
      <c r="L63" s="6" t="n">
        <v>1015</v>
      </c>
      <c r="M63" s="6" t="n">
        <v>37070300</v>
      </c>
      <c r="N63" s="6" t="n">
        <v>69713</v>
      </c>
      <c r="O63" s="6" t="n">
        <v>6141770</v>
      </c>
      <c r="P63" s="5"/>
      <c r="Q63" s="5"/>
    </row>
    <row collapsed="false" customFormat="false" customHeight="false" hidden="false" ht="12.1" outlineLevel="0" r="64">
      <c r="A64" s="4" t="s">
        <f>HYPERLINK("https://www.list-org.com/company/215946","https://www.list-org.com/company/215946")</f>
      </c>
      <c r="B64" s="5" t="inlineStr">
        <is>
          <t>ООО "ЕВРАЗТЕХНИКА"</t>
        </is>
      </c>
      <c r="C64" s="5" t="inlineStr">
        <is>
          <t>ОБЩЕСТВО С ОГРАНИЧЕННОЙ ОТВЕТСТВЕННОСТЬЮ "ЕВРАЗТЕХНИКА"</t>
        </is>
      </c>
      <c r="D64" s="5" t="inlineStr">
        <is>
          <t>действующее</t>
        </is>
      </c>
      <c r="E64" s="5" t="inlineStr">
        <is>
          <t>ГЕНЕРАЛЬНЫЙ ДИРЕКТОР Натрусов Артем Владимирович</t>
        </is>
      </c>
      <c r="F64" s="5" t="inlineStr">
        <is>
          <t>7707500530</t>
        </is>
      </c>
      <c r="G64" s="5" t="inlineStr">
        <is>
          <t>1037739829885</t>
        </is>
      </c>
      <c r="H64" s="5" t="inlineStr">
        <is>
          <t>+7 (495) 933-23-51</t>
        </is>
      </c>
      <c r="I64" s="5" t="inlineStr">
        <is>
          <t>kristina.matsneva@evraz.com</t>
        </is>
      </c>
      <c r="J64" s="5"/>
      <c r="K64" s="5" t="inlineStr">
        <is>
          <t>121353, Г.МОСКВА, УЛ. БЕЛОВЕЖСКАЯ, Д.4</t>
        </is>
      </c>
      <c r="L64" s="6" t="n">
        <v>1013</v>
      </c>
      <c r="M64" s="6" t="n">
        <v>2441340</v>
      </c>
      <c r="N64" s="6" t="n">
        <v>234723</v>
      </c>
      <c r="O64" s="6" t="n">
        <v>629345</v>
      </c>
      <c r="P64" s="5"/>
      <c r="Q64" s="5"/>
    </row>
    <row collapsed="false" customFormat="false" customHeight="false" hidden="false" ht="12.1" outlineLevel="0" r="65">
      <c r="A65" s="4" t="s">
        <f>HYPERLINK("https://www.list-org.com/company/9400803","https://www.list-org.com/company/9400803")</f>
      </c>
      <c r="B65" s="5" t="inlineStr">
        <is>
          <t>ООО "УСКОРЕНИЕ БИЗНЕСА"</t>
        </is>
      </c>
      <c r="C65" s="5" t="inlineStr">
        <is>
          <t>ОБЩЕСТВО С ОГРАНИЧЕННОЙ ОТВЕТСТВЕННОСТЬЮ "УСКОРЕНИЕ БИЗНЕСА"</t>
        </is>
      </c>
      <c r="D65" s="5" t="inlineStr">
        <is>
          <t>действующее</t>
        </is>
      </c>
      <c r="E65" s="5" t="inlineStr">
        <is>
          <t>ЧИВИКОВ ВИКТОР МИХАЙЛОВИЧ</t>
        </is>
      </c>
      <c r="F65" s="5" t="inlineStr">
        <is>
          <t>7706444385</t>
        </is>
      </c>
      <c r="G65" s="5" t="inlineStr">
        <is>
          <t>5167746389476</t>
        </is>
      </c>
      <c r="H65" s="5" t="inlineStr">
        <is>
          <t>+7 (495) 926-15-88</t>
        </is>
      </c>
      <c r="I65" s="5" t="inlineStr">
        <is>
          <t>ca@1cbit.ru</t>
        </is>
      </c>
      <c r="J65" s="5" t="inlineStr">
        <is>
          <t>https://www.1cbit.ru</t>
        </is>
      </c>
      <c r="K65" s="5" t="inlineStr">
        <is>
          <t>119180, МОСКВА ГОРОД, УЛИЦА ПОЛЯНКА Б., Д. 51А/9, ЭТАЖ 8 ПОМ I КОМ 1</t>
        </is>
      </c>
      <c r="L65" s="6" t="n">
        <v>1006</v>
      </c>
      <c r="M65" s="6" t="n">
        <v>5474360</v>
      </c>
      <c r="N65" s="6" t="n">
        <v>476027</v>
      </c>
      <c r="O65" s="6" t="n">
        <v>1251110</v>
      </c>
      <c r="P65" s="5"/>
      <c r="Q65" s="5"/>
    </row>
    <row collapsed="false" customFormat="false" customHeight="false" hidden="false" ht="12.1" outlineLevel="0" r="66">
      <c r="A66" s="4" t="s">
        <f>HYPERLINK("https://www.list-org.com/company/6740460","https://www.list-org.com/company/6740460")</f>
      </c>
      <c r="B66" s="5" t="inlineStr">
        <is>
          <t>ООО "М ТЕХ"</t>
        </is>
      </c>
      <c r="C66" s="5" t="inlineStr">
        <is>
          <t>ОБЩЕСТВО С ОГРАНИЧЕННОЙ ОТВЕТСТВЕННОСТЬЮ "М ТЕХ"</t>
        </is>
      </c>
      <c r="D66" s="5" t="inlineStr">
        <is>
          <t>действующее</t>
        </is>
      </c>
      <c r="E66" s="5" t="inlineStr">
        <is>
          <t>ТКАЧЕНКО СЕРГЕЙ ПЕТРОВИЧ</t>
        </is>
      </c>
      <c r="F66" s="5" t="inlineStr">
        <is>
          <t>7723809533</t>
        </is>
      </c>
      <c r="G66" s="5" t="inlineStr">
        <is>
          <t>1117746650031</t>
        </is>
      </c>
      <c r="H66" s="5" t="inlineStr">
        <is>
          <t>+7 (985) 991-37-42</t>
        </is>
      </c>
      <c r="I66" s="5"/>
      <c r="J66" s="5"/>
      <c r="K66" s="5" t="inlineStr">
        <is>
          <t>105066, Г.Москва, ВНУТРИГОРОДСКАЯ ТЕРРИТОРИЯ ГОРОДА ФЕДЕРАЛЬНОГО ЗНАЧЕНИЯ МУНИЦИПАЛЬНЫЙ ОКРУГ БАСМАННЫЙ, УЛ НИЖНЯЯ КРАСНОСЕЛЬСКАЯ, Д. 40/12</t>
        </is>
      </c>
      <c r="L66" s="6" t="n">
        <v>997</v>
      </c>
      <c r="M66" s="6" t="n">
        <v>4118280</v>
      </c>
      <c r="N66" s="6" t="n">
        <v>132650</v>
      </c>
      <c r="O66" s="6" t="n">
        <v>476505</v>
      </c>
      <c r="P66" s="5"/>
      <c r="Q66" s="5"/>
    </row>
    <row collapsed="false" customFormat="false" customHeight="false" hidden="false" ht="12.1" outlineLevel="0" r="67">
      <c r="A67" s="4" t="s">
        <f>HYPERLINK("https://www.list-org.com/company/11585780","https://www.list-org.com/company/11585780")</f>
      </c>
      <c r="B67" s="5" t="inlineStr">
        <is>
          <t>ООО "ВК ЦИФРОВЫЕ ТЕХНОЛОГИИ"</t>
        </is>
      </c>
      <c r="C67" s="5" t="inlineStr">
        <is>
          <t>ОБЩЕСТВО С ОГРАНИЧЕННОЙ ОТВЕТСТВЕННОСТЬЮ "ВК ЦИФРОВЫЕ ТЕХНОЛОГИИ"</t>
        </is>
      </c>
      <c r="D67" s="5" t="inlineStr">
        <is>
          <t>действующее</t>
        </is>
      </c>
      <c r="E67" s="5" t="inlineStr">
        <is>
          <t>УПРАВЛЯЮЩАЯ КОМПАНИЯ ОБЩЕСТВО С ОГРАНИЧЕННОЙ ОТВЕТСТВЕННОСТЬЮ "УПРАВЛЯЮЩАЯ КОМПАНИЯ ВК"</t>
        </is>
      </c>
      <c r="F67" s="5" t="inlineStr">
        <is>
          <t>7714415613</t>
        </is>
      </c>
      <c r="G67" s="5" t="inlineStr">
        <is>
          <t>5177746017158</t>
        </is>
      </c>
      <c r="H67" s="5" t="inlineStr">
        <is>
          <t>+7 (495) 725-63-57</t>
        </is>
      </c>
      <c r="I67" s="5"/>
      <c r="J67" s="5"/>
      <c r="K67" s="5" t="inlineStr">
        <is>
          <t>125167, Г.МОСКВА, ПР-КТ ЛЕНИНГРАДСКИЙ, Д. 39, СТР. 79, ЭТАЖ 17</t>
        </is>
      </c>
      <c r="L67" s="6" t="n">
        <v>997</v>
      </c>
      <c r="M67" s="6" t="n">
        <v>10473100</v>
      </c>
      <c r="N67" s="6" t="n">
        <v>717471</v>
      </c>
      <c r="O67" s="6" t="n">
        <v>3757210</v>
      </c>
      <c r="P67" s="5"/>
      <c r="Q67" s="5"/>
    </row>
    <row collapsed="false" customFormat="false" customHeight="false" hidden="false" ht="12.1" outlineLevel="0" r="68">
      <c r="A68" s="4" t="s">
        <f>HYPERLINK("https://www.list-org.com/company/12775593","https://www.list-org.com/company/12775593")</f>
      </c>
      <c r="B68" s="5" t="inlineStr">
        <is>
          <t>ООО "МЕГАТЕХ"</t>
        </is>
      </c>
      <c r="C68" s="5" t="inlineStr">
        <is>
          <t>ОБЩЕСТВО С ОГРАНИЧЕННОЙ ОТВЕТСТВЕННОСТЬЮ "МЕГАТЕХ"</t>
        </is>
      </c>
      <c r="D68" s="5" t="inlineStr">
        <is>
          <t>действующее</t>
        </is>
      </c>
      <c r="E68" s="5" t="inlineStr">
        <is>
          <t>ЗАБУГА ДМИТРИЙ ЮРЬЕВИЧ</t>
        </is>
      </c>
      <c r="F68" s="5" t="inlineStr">
        <is>
          <t>7707444772</t>
        </is>
      </c>
      <c r="G68" s="5" t="inlineStr">
        <is>
          <t>1207700399356</t>
        </is>
      </c>
      <c r="H68" s="5" t="inlineStr">
        <is>
          <t>+7 (926) 714-74-66</t>
        </is>
      </c>
      <c r="I68" s="5" t="inlineStr">
        <is>
          <t>info@megafon.ru, yuliya.tumanova@megafon.ru</t>
        </is>
      </c>
      <c r="J68" s="5"/>
      <c r="K68" s="5" t="inlineStr">
        <is>
          <t>127006, Г.МОСКВА, ПЕР. ОРУЖЕЙНЫЙ, Д. 41, ЭТАЖ 11 ПОМЕЩЕНИЕ 11.06</t>
        </is>
      </c>
      <c r="L68" s="6" t="n">
        <v>993</v>
      </c>
      <c r="M68" s="6" t="n">
        <v>4436740</v>
      </c>
      <c r="N68" s="6" t="n">
        <v>495687</v>
      </c>
      <c r="O68" s="6" t="n">
        <v>817276</v>
      </c>
      <c r="P68" s="5"/>
      <c r="Q68" s="5"/>
    </row>
    <row collapsed="false" customFormat="false" customHeight="false" hidden="false" ht="12.1" outlineLevel="0" r="69">
      <c r="A69" s="4" t="s">
        <f>HYPERLINK("https://www.list-org.com/company/5430403","https://www.list-org.com/company/5430403")</f>
      </c>
      <c r="B69" s="5" t="inlineStr">
        <is>
          <t>АО "НПО РУСБИТЕХ"</t>
        </is>
      </c>
      <c r="C69" s="5" t="inlineStr">
        <is>
          <t>АКЦИОНЕРНОЕ ОБЩЕСТВО "НАУЧНО-ПРОИЗВОДСТВЕННОЕ ОБЪЕДИНЕНИЕ РУССКИЕ БАЗОВЫЕ ИНФОРМАЦИОННЫЕ ТЕХНОЛОГИИ"</t>
        </is>
      </c>
      <c r="D69" s="5" t="inlineStr">
        <is>
          <t>действующее</t>
        </is>
      </c>
      <c r="E69" s="5" t="inlineStr">
        <is>
          <t>КАБАНКОВ ПАВЕЛ ЮРЬЕВИЧ</t>
        </is>
      </c>
      <c r="F69" s="5" t="inlineStr">
        <is>
          <t>7726604816</t>
        </is>
      </c>
      <c r="G69" s="5" t="inlineStr">
        <is>
          <t>5087746137023</t>
        </is>
      </c>
      <c r="H69" s="5" t="inlineStr">
        <is>
          <t>+7 (916) 677-70-84</t>
        </is>
      </c>
      <c r="I69" s="5"/>
      <c r="J69" s="5" t="inlineStr">
        <is>
          <t>www.rusbitech.ru</t>
        </is>
      </c>
      <c r="K69" s="5" t="inlineStr">
        <is>
          <t>117105, Г.МОСКВА, Ш. ВАРШАВСКОЕ, Д.26</t>
        </is>
      </c>
      <c r="L69" s="6" t="n">
        <v>989</v>
      </c>
      <c r="M69" s="6" t="n">
        <v>3962410</v>
      </c>
      <c r="N69" s="6" t="n">
        <v>209880</v>
      </c>
      <c r="O69" s="6" t="n">
        <v>945691</v>
      </c>
      <c r="P69" s="5"/>
      <c r="Q69" s="5"/>
    </row>
    <row collapsed="false" customFormat="false" customHeight="false" hidden="false" ht="12.1" outlineLevel="0" r="70">
      <c r="A70" s="4" t="s">
        <f>HYPERLINK("https://www.list-org.com/company/12335105","https://www.list-org.com/company/12335105")</f>
      </c>
      <c r="B70" s="5" t="inlineStr">
        <is>
          <t>ООО "РТ МИС"</t>
        </is>
      </c>
      <c r="C70" s="5" t="inlineStr">
        <is>
          <t>ОБЩЕСТВО С ОГРАНИЧЕННОЙ ОТВЕТСТВЕННОСТЬЮ "РТ МЕДИЦИНСКИЕ ИНФОРМАЦИОННЫЕ СИСТЕМЫ"</t>
        </is>
      </c>
      <c r="D70" s="5" t="inlineStr">
        <is>
          <t>действующее</t>
        </is>
      </c>
      <c r="E70" s="5" t="inlineStr">
        <is>
          <t>МАРТЫНЕНКО АЛЕКСАНДР СЕРГЕЕВИЧ</t>
        </is>
      </c>
      <c r="F70" s="5" t="inlineStr">
        <is>
          <t>5906159906</t>
        </is>
      </c>
      <c r="G70" s="5" t="inlineStr">
        <is>
          <t>1195958020170</t>
        </is>
      </c>
      <c r="H70" s="5" t="inlineStr">
        <is>
          <t>+7 (342) 263-11-99</t>
        </is>
      </c>
      <c r="I70" s="5" t="inlineStr">
        <is>
          <t>dmitriy.ussov@rtmis.ru</t>
        </is>
      </c>
      <c r="J70" s="5"/>
      <c r="K70" s="5" t="inlineStr">
        <is>
          <t>614107, ПЕРМСКИЙ КРАЙ, Г. ПЕРМЬ, УЛ. УРАЛЬСКАЯ, Д. 76</t>
        </is>
      </c>
      <c r="L70" s="6" t="n">
        <v>958</v>
      </c>
      <c r="M70" s="6" t="n">
        <v>3312840</v>
      </c>
      <c r="N70" s="6" t="n">
        <v>122367</v>
      </c>
      <c r="O70" s="6" t="n">
        <v>633885</v>
      </c>
      <c r="P70" s="5"/>
      <c r="Q70" s="5"/>
    </row>
    <row collapsed="false" customFormat="false" customHeight="false" hidden="false" ht="12.1" outlineLevel="0" r="71">
      <c r="A71" s="4" t="s">
        <f>HYPERLINK("https://www.list-org.com/company/13689405","https://www.list-org.com/company/13689405")</f>
      </c>
      <c r="B71" s="5" t="inlineStr">
        <is>
          <t>ООО "ЛЕ МОНЛИД ЦИФРОВЫЕ ТЕХНОЛОГИИ"</t>
        </is>
      </c>
      <c r="C71" s="5" t="inlineStr">
        <is>
          <t>ОБЩЕСТВО С ОГРАНИЧЕННОЙ ОТВЕТСТВЕННОСТЬЮ "ЛЕ МОНЛИД ЦИФРОВЫЕ ТЕХНОЛОГИИ"</t>
        </is>
      </c>
      <c r="D71" s="5" t="inlineStr">
        <is>
          <t>действующее</t>
        </is>
      </c>
      <c r="E71" s="5" t="inlineStr">
        <is>
          <t>КИСЕЛЕНКО ВИКТОР АЛЕКСАНДРОВИЧ</t>
        </is>
      </c>
      <c r="F71" s="5" t="inlineStr">
        <is>
          <t>9725097780</t>
        </is>
      </c>
      <c r="G71" s="5" t="inlineStr">
        <is>
          <t>1227700631003</t>
        </is>
      </c>
      <c r="H71" s="5"/>
      <c r="I71" s="5" t="inlineStr">
        <is>
          <t>lm.digital@leroymerlin.ru, lm.digital@lemanapro.ru</t>
        </is>
      </c>
      <c r="J71" s="5"/>
      <c r="K71" s="5" t="inlineStr">
        <is>
          <t>115280, Г.МОСКВА, МУНИЦИПАЛЬНЫЙ ОКРУГ ДАНИЛОВСКИЙ, ПР-КТ ЛИХАЧЁВА, Д. 15, ПОМЕЩ. 1/1</t>
        </is>
      </c>
      <c r="L71" s="6" t="n">
        <v>950</v>
      </c>
      <c r="M71" s="6" t="n">
        <v>8845240</v>
      </c>
      <c r="N71" s="6" t="n">
        <v>519227</v>
      </c>
      <c r="O71" s="6" t="n">
        <v>250572</v>
      </c>
      <c r="P71" s="5"/>
      <c r="Q71" s="5"/>
    </row>
    <row collapsed="false" customFormat="false" customHeight="false" hidden="false" ht="12.1" outlineLevel="0" r="72">
      <c r="A72" s="4" t="s">
        <f>HYPERLINK("https://www.list-org.com/company/7175099","https://www.list-org.com/company/7175099")</f>
      </c>
      <c r="B72" s="5" t="inlineStr">
        <is>
          <t>ООО "СЦФ"</t>
        </is>
      </c>
      <c r="C72" s="5" t="inlineStr">
        <is>
          <t>ОБЩЕСТВО С ОГРАНИЧЕННОЙ ОТВЕТСТВЕННОСТЬЮ  "СЕРВИСНЫЙ ЦЕНТР ФЕСКО"</t>
        </is>
      </c>
      <c r="D72" s="5" t="inlineStr">
        <is>
          <t>действующее</t>
        </is>
      </c>
      <c r="E72" s="5" t="inlineStr">
        <is>
          <t>ЛЕБЕДЕВ ДЕНИС ГЕОРГИЕВИЧ</t>
        </is>
      </c>
      <c r="F72" s="5" t="inlineStr">
        <is>
          <t>7729715592</t>
        </is>
      </c>
      <c r="G72" s="5" t="inlineStr">
        <is>
          <t>1127746578024</t>
        </is>
      </c>
      <c r="H72" s="5" t="inlineStr">
        <is>
          <t>+7 (495) 926-80-00</t>
        </is>
      </c>
      <c r="I72" s="5" t="inlineStr">
        <is>
          <t>scf@fesco.com</t>
        </is>
      </c>
      <c r="J72" s="5"/>
      <c r="K72" s="5" t="inlineStr">
        <is>
          <t>115184, Г.МОСКВА, МУНИЦИПАЛЬНЫЙ ОКРУГ ЗАМОСКВОРЕЧЬЕ, УЛ НОВОКУЗНЕЦКАЯ, Д. 7/11,СТР. 1, СТР. 1</t>
        </is>
      </c>
      <c r="L72" s="6" t="n">
        <v>917</v>
      </c>
      <c r="M72" s="6" t="n">
        <v>6361850</v>
      </c>
      <c r="N72" s="6" t="n">
        <v>976448</v>
      </c>
      <c r="O72" s="6" t="n">
        <v>199913</v>
      </c>
      <c r="P72" s="5"/>
      <c r="Q72" s="5"/>
    </row>
    <row collapsed="false" customFormat="false" customHeight="false" hidden="false" ht="12.1" outlineLevel="0" r="73">
      <c r="A73" s="4" t="s">
        <f>HYPERLINK("https://www.list-org.com/company/436358","https://www.list-org.com/company/436358")</f>
      </c>
      <c r="B73" s="5" t="inlineStr">
        <is>
          <t>АО "ДИАЙПИ"</t>
        </is>
      </c>
      <c r="C73" s="5" t="inlineStr">
        <is>
          <t>АКЦИОНЕРНОЕ ОБЩЕСТВО "ДИАЙПИ"</t>
        </is>
      </c>
      <c r="D73" s="5" t="inlineStr">
        <is>
          <t>действующее</t>
        </is>
      </c>
      <c r="E73" s="5" t="inlineStr">
        <is>
          <t>КАРГАШИНСКИЙ ЛЕВ ОЛЕГОВИЧ</t>
        </is>
      </c>
      <c r="F73" s="5" t="inlineStr">
        <is>
          <t>6625034780</t>
        </is>
      </c>
      <c r="G73" s="5" t="inlineStr">
        <is>
          <t>1056601489010</t>
        </is>
      </c>
      <c r="H73" s="5" t="inlineStr">
        <is>
          <t>+7 (351) 255-62-30</t>
        </is>
      </c>
      <c r="I73" s="5" t="inlineStr">
        <is>
          <t>irina.selezneva@chelpipe.ru, lev.kargashinskiy@tmk-group.com</t>
        </is>
      </c>
      <c r="J73" s="5"/>
      <c r="K73" s="5" t="inlineStr">
        <is>
          <t>454129, ЧЕЛЯБИНСКАЯ ОБЛАСТЬ, Г ЧЕЛЯБИНСК, УЛ МАШИНОСТРОИТЕЛЕЙ, Д. 21</t>
        </is>
      </c>
      <c r="L73" s="6" t="n">
        <v>916</v>
      </c>
      <c r="M73" s="6" t="n">
        <v>2458860</v>
      </c>
      <c r="N73" s="6" t="n">
        <v>117929</v>
      </c>
      <c r="O73" s="6" t="n">
        <v>259828</v>
      </c>
      <c r="P73" s="5"/>
      <c r="Q73" s="5"/>
    </row>
    <row collapsed="false" customFormat="false" customHeight="false" hidden="false" ht="12.1" outlineLevel="0" r="74">
      <c r="A74" s="4" t="s">
        <f>HYPERLINK("https://www.list-org.com/company/12373653","https://www.list-org.com/company/12373653")</f>
      </c>
      <c r="B74" s="5" t="inlineStr">
        <is>
          <t>ООО "БКС ФИНТЕХ"</t>
        </is>
      </c>
      <c r="C74" s="5" t="inlineStr">
        <is>
          <t>ОБЩЕСТВО С ОГРАНИЧЕННОЙ ОТВЕТСТВЕННОСТЬЮ "БКС ФИНТЕХ"</t>
        </is>
      </c>
      <c r="D74" s="5" t="inlineStr">
        <is>
          <t>действующее</t>
        </is>
      </c>
      <c r="E74" s="5" t="inlineStr">
        <is>
          <t>ИВАНОВ ДМИТРИЙ ВАЛЕРЬЕВИЧ</t>
        </is>
      </c>
      <c r="F74" s="5" t="inlineStr">
        <is>
          <t>9731050500</t>
        </is>
      </c>
      <c r="G74" s="5" t="inlineStr">
        <is>
          <t>1197746523259</t>
        </is>
      </c>
      <c r="H74" s="5" t="inlineStr">
        <is>
          <t>+7 (499) 951-19-61</t>
        </is>
      </c>
      <c r="I74" s="5" t="inlineStr">
        <is>
          <t>skrypniktv@bcs-bank.com, ivanovdv@bcsfintech.ru</t>
        </is>
      </c>
      <c r="J74" s="5"/>
      <c r="K74" s="5" t="inlineStr">
        <is>
          <t>129110, Г.МОСКВА, МУНИЦИПАЛЬНЫЙ ОКРУГ МЕЩАНСКИЙ, ПР-КТ МИРА, Д. 69,СТР. 1, СТР. 1, ПОМЕЩ. 3-70</t>
        </is>
      </c>
      <c r="L74" s="6" t="n">
        <v>904</v>
      </c>
      <c r="M74" s="6" t="n">
        <v>5058960</v>
      </c>
      <c r="N74" s="6" t="n">
        <v>-192796</v>
      </c>
      <c r="O74" s="6" t="n">
        <v>42564</v>
      </c>
      <c r="P74" s="5"/>
      <c r="Q74" s="5"/>
    </row>
    <row collapsed="false" customFormat="false" customHeight="false" hidden="false" ht="12.1" outlineLevel="0" r="75">
      <c r="A75" s="4" t="s">
        <f>HYPERLINK("https://www.list-org.com/company/9653382","https://www.list-org.com/company/9653382")</f>
      </c>
      <c r="B75" s="5" t="inlineStr">
        <is>
          <t>ООО "ИНТЕЛЛЕКТУАЛЬНЫЕ СИСТЕМЫ"</t>
        </is>
      </c>
      <c r="C75" s="5" t="inlineStr">
        <is>
          <t>ОБЩЕСТВО С ОГРАНИЧЕННОЙ ОТВЕТСТВЕННОСТЬЮ "ИНТЕЛЛЕКТУАЛЬНЫЕ СИСТЕМЫ"</t>
        </is>
      </c>
      <c r="D75" s="5" t="inlineStr">
        <is>
          <t>действующее</t>
        </is>
      </c>
      <c r="E75" s="5" t="inlineStr">
        <is>
          <t>ОДИНЦОВ ЕВГЕНИЙ АЛЕКСАНДРОВИЧ</t>
        </is>
      </c>
      <c r="F75" s="5" t="inlineStr">
        <is>
          <t>7709988672</t>
        </is>
      </c>
      <c r="G75" s="5" t="inlineStr">
        <is>
          <t>1177746139120</t>
        </is>
      </c>
      <c r="H75" s="5" t="inlineStr">
        <is>
          <t>+7 (812) 602-27-72</t>
        </is>
      </c>
      <c r="I75" s="5"/>
      <c r="J75" s="5"/>
      <c r="K75" s="5" t="inlineStr">
        <is>
          <t>109147, Г.МОСКВА, УЛ МАРКСИСТСКАЯ, Д. 34, СТР. 5, КОМ. 10</t>
        </is>
      </c>
      <c r="L75" s="6" t="n">
        <v>876</v>
      </c>
      <c r="M75" s="6" t="n">
        <v>3516630</v>
      </c>
      <c r="N75" s="6" t="n">
        <v>511182</v>
      </c>
      <c r="O75" s="6" t="n">
        <v>2372820</v>
      </c>
      <c r="P75" s="5"/>
      <c r="Q75" s="5"/>
    </row>
    <row collapsed="false" customFormat="false" customHeight="false" hidden="false" ht="12.1" outlineLevel="0" r="76">
      <c r="A76" s="4" t="s">
        <f>HYPERLINK("https://www.list-org.com/company/14506","https://www.list-org.com/company/14506")</f>
      </c>
      <c r="B76" s="5" t="inlineStr">
        <is>
          <t>АО "НЭКСАЙН"</t>
        </is>
      </c>
      <c r="C76" s="5" t="inlineStr">
        <is>
          <t>АКЦИОНЕРНОЕ ОБЩЕСТВО "НЭКСАЙН"</t>
        </is>
      </c>
      <c r="D76" s="5" t="inlineStr">
        <is>
          <t>действующее</t>
        </is>
      </c>
      <c r="E76" s="5" t="inlineStr">
        <is>
          <t>МАТЮШИН МИХАИЛ ВЛАДИМИРОВИЧ</t>
        </is>
      </c>
      <c r="F76" s="5" t="inlineStr">
        <is>
          <t>7801019126</t>
        </is>
      </c>
      <c r="G76" s="5" t="inlineStr">
        <is>
          <t>1027809251744</t>
        </is>
      </c>
      <c r="H76" s="5" t="inlineStr">
        <is>
          <t>+7 (812) 326-12-99</t>
        </is>
      </c>
      <c r="I76" s="5" t="inlineStr">
        <is>
          <t>ps@billing.ru</t>
        </is>
      </c>
      <c r="J76" s="5" t="inlineStr">
        <is>
          <t>www.billing.ru</t>
        </is>
      </c>
      <c r="K76" s="5" t="inlineStr">
        <is>
          <t>199155, Г.Санкт-Петербург, ВНУТРИГОРОДСКАЯ ТЕРРИТОРИЯ ГОРОДА ФЕДЕРАЛЬНОГО ЗНАЧЕНИЯ МУНИЦИПАЛЬНЫЙ ОКРУГ ОСТРОВ ДЕКАБРИСТОВ, УЛ УРАЛЬСКАЯ, Д. 4, ПОМЕЩ. 22Н</t>
        </is>
      </c>
      <c r="L76" s="6" t="n">
        <v>873</v>
      </c>
      <c r="M76" s="6"/>
      <c r="N76" s="6"/>
      <c r="O76" s="6"/>
      <c r="P76" s="5"/>
      <c r="Q76" s="5"/>
    </row>
    <row collapsed="false" customFormat="false" customHeight="false" hidden="false" ht="12.1" outlineLevel="0" r="77">
      <c r="A77" s="4" t="s">
        <f>HYPERLINK("https://www.list-org.com/company/7836444","https://www.list-org.com/company/7836444")</f>
      </c>
      <c r="B77" s="5" t="inlineStr">
        <is>
          <t>ООО "НОВЫЕ ОБЛАЧНЫЕ ТЕХНОЛОГИИ"</t>
        </is>
      </c>
      <c r="C77" s="5" t="inlineStr">
        <is>
          <t>ОБЩЕСТВО С ОГРАНИЧЕННОЙ ОТВЕТСТВЕННОСТЬЮ "НОВЫЕ ОБЛАЧНЫЕ ТЕХНОЛОГИИ"</t>
        </is>
      </c>
      <c r="D77" s="5" t="inlineStr">
        <is>
          <t>действующее</t>
        </is>
      </c>
      <c r="E77" s="5" t="inlineStr">
        <is>
          <t>ЗАКОРЖЕВСКИЙ ВЯЧЕСЛАВ ВЛАДИМИРОВИЧ</t>
        </is>
      </c>
      <c r="F77" s="5" t="inlineStr">
        <is>
          <t>7703807270</t>
        </is>
      </c>
      <c r="G77" s="5" t="inlineStr">
        <is>
          <t>1147746237660</t>
        </is>
      </c>
      <c r="H77" s="5" t="inlineStr">
        <is>
          <t>+7 (964) 783-24-44</t>
        </is>
      </c>
      <c r="I77" s="5" t="inlineStr">
        <is>
          <t>anna.dubkova@ncloudtech.ru</t>
        </is>
      </c>
      <c r="J77" s="5" t="inlineStr">
        <is>
          <t>www.ncloudtech.ru</t>
        </is>
      </c>
      <c r="K77" s="5" t="inlineStr">
        <is>
          <t>420500, РЕСПУБЛИКА ТАТАРСТАН (ТАТАРСТАН), ВЕРХНЕУСЛОНСКИЙ Р-Н, Г. ИННОПОЛИС, УЛ. УНИВЕРСИТЕТСКАЯ, Д. 7, ОФИС 302</t>
        </is>
      </c>
      <c r="L77" s="6" t="n">
        <v>868</v>
      </c>
      <c r="M77" s="6" t="n">
        <v>2010310</v>
      </c>
      <c r="N77" s="6" t="n">
        <v>-1200570</v>
      </c>
      <c r="O77" s="6" t="n">
        <v>-9688580</v>
      </c>
      <c r="P77" s="5"/>
      <c r="Q77" s="5"/>
    </row>
    <row collapsed="false" customFormat="false" customHeight="false" hidden="false" ht="12.1" outlineLevel="0" r="78">
      <c r="A78" s="4" t="s">
        <f>HYPERLINK("https://www.list-org.com/company/12830406","https://www.list-org.com/company/12830406")</f>
      </c>
      <c r="B78" s="5" t="inlineStr">
        <is>
          <t>ООО "АСТРАЛ-СОФТ"</t>
        </is>
      </c>
      <c r="C78" s="5" t="inlineStr">
        <is>
          <t>ОБЩЕСТВО С ОГРАНИЧЕННОЙ ОТВЕТСТВЕННОСТЬЮ "АСТРАЛ-СОФТ"</t>
        </is>
      </c>
      <c r="D78" s="5" t="inlineStr">
        <is>
          <t>действующее</t>
        </is>
      </c>
      <c r="E78" s="5" t="inlineStr">
        <is>
          <t>ЧЕРНИН ИГОРЬ ИЛЬИЧ</t>
        </is>
      </c>
      <c r="F78" s="5" t="inlineStr">
        <is>
          <t>4027145240</t>
        </is>
      </c>
      <c r="G78" s="5" t="inlineStr">
        <is>
          <t>1214000000092</t>
        </is>
      </c>
      <c r="H78" s="5" t="inlineStr">
        <is>
          <t>+7 (4842) 78-89-99</t>
        </is>
      </c>
      <c r="I78" s="5" t="inlineStr">
        <is>
          <t>buh@astral-s.ru</t>
        </is>
      </c>
      <c r="J78" s="5"/>
      <c r="K78" s="5" t="inlineStr">
        <is>
          <t>248000, Калужская область, ГОРОДСКОЙ ОКРУГ ГОРОД КАЛУГА, Г КАЛУГА, УЛ ЦИОЛКОВСКОГО, Д. 4, 0ФИС 211</t>
        </is>
      </c>
      <c r="L78" s="6" t="n">
        <v>868</v>
      </c>
      <c r="M78" s="6" t="n">
        <v>1871940</v>
      </c>
      <c r="N78" s="6" t="n">
        <v>146341</v>
      </c>
      <c r="O78" s="6" t="n">
        <v>3593530</v>
      </c>
      <c r="P78" s="5"/>
      <c r="Q78" s="5"/>
    </row>
    <row collapsed="false" customFormat="false" customHeight="false" hidden="false" ht="12.1" outlineLevel="0" r="79">
      <c r="A79" s="4" t="s">
        <f>HYPERLINK("https://www.list-org.com/company/5637442","https://www.list-org.com/company/5637442")</f>
      </c>
      <c r="B79" s="5" t="inlineStr">
        <is>
          <t>АО "НЕОФЛЕКС КОНСАЛТИНГ"</t>
        </is>
      </c>
      <c r="C79" s="5" t="inlineStr">
        <is>
          <t>АКЦИОНЕРНОЕ ОБЩЕСТВО "НЕОФЛЕКС КОНСАЛТИНГ"</t>
        </is>
      </c>
      <c r="D79" s="5" t="inlineStr">
        <is>
          <t>действующее</t>
        </is>
      </c>
      <c r="E79" s="5" t="inlineStr">
        <is>
          <t>РУБАН ОЛЕГ ВИКТОРОВИЧ</t>
        </is>
      </c>
      <c r="F79" s="5" t="inlineStr">
        <is>
          <t>7701839238</t>
        </is>
      </c>
      <c r="G79" s="5" t="inlineStr">
        <is>
          <t>1097746303050</t>
        </is>
      </c>
      <c r="H79" s="5" t="inlineStr">
        <is>
          <t>+7 (910) 408-29-82</t>
        </is>
      </c>
      <c r="I79" s="5" t="inlineStr">
        <is>
          <t>info@neoflex.ru</t>
        </is>
      </c>
      <c r="J79" s="5" t="inlineStr">
        <is>
          <t>http://neoflex.ru</t>
        </is>
      </c>
      <c r="K79" s="5" t="inlineStr">
        <is>
          <t>127015, Г.МОСКВА, УЛ ВЯТСКАЯ, Д. 35, СТР. 4</t>
        </is>
      </c>
      <c r="L79" s="6" t="n">
        <v>860</v>
      </c>
      <c r="M79" s="6" t="n">
        <v>2666520</v>
      </c>
      <c r="N79" s="6" t="n">
        <v>174608</v>
      </c>
      <c r="O79" s="6" t="n">
        <v>1174930</v>
      </c>
      <c r="P79" s="5"/>
      <c r="Q79" s="5"/>
    </row>
    <row collapsed="false" customFormat="false" customHeight="false" hidden="false" ht="12.1" outlineLevel="0" r="80">
      <c r="A80" s="4" t="s">
        <f>HYPERLINK("https://www.list-org.com/company/2308180","https://www.list-org.com/company/2308180")</f>
      </c>
      <c r="B80" s="5" t="inlineStr">
        <is>
          <t>ООО "ДОМКЛИК"</t>
        </is>
      </c>
      <c r="C80" s="5" t="inlineStr">
        <is>
          <t>ОБЩЕСТВО С ОГРАНИЧЕННОЙ ОТВЕТСТВЕННОСТЬЮ "ДОМКЛИК"</t>
        </is>
      </c>
      <c r="D80" s="5" t="inlineStr">
        <is>
          <t>действующее</t>
        </is>
      </c>
      <c r="E80" s="5"/>
      <c r="F80" s="5" t="inlineStr">
        <is>
          <t>7736249247</t>
        </is>
      </c>
      <c r="G80" s="5" t="inlineStr">
        <is>
          <t>1157746652150</t>
        </is>
      </c>
      <c r="H80" s="5" t="inlineStr">
        <is>
          <t>+7 (495) 120-18-43</t>
        </is>
      </c>
      <c r="I80" s="5"/>
      <c r="J80" s="5" t="inlineStr">
        <is>
          <t>center-msk.ru</t>
        </is>
      </c>
      <c r="K80" s="5" t="inlineStr">
        <is>
          <t>121170, МОСКВА Г., ПР-КТ КУТУЗОВСКИЙ, Д. 32, К. 1</t>
        </is>
      </c>
      <c r="L80" s="6" t="n">
        <v>831</v>
      </c>
      <c r="M80" s="6" t="n">
        <v>13939100</v>
      </c>
      <c r="N80" s="6" t="n">
        <v>7284830</v>
      </c>
      <c r="O80" s="6" t="n">
        <v>7486510</v>
      </c>
      <c r="P80" s="5"/>
      <c r="Q80" s="5"/>
    </row>
    <row collapsed="false" customFormat="false" customHeight="false" hidden="false" ht="12.1" outlineLevel="0" r="81">
      <c r="A81" s="4" t="s">
        <f>HYPERLINK("https://www.list-org.com/company/59623","https://www.list-org.com/company/59623")</f>
      </c>
      <c r="B81" s="5" t="inlineStr">
        <is>
          <t>АО "ИНФОСИСТЕМЫ ДЖЕТ"</t>
        </is>
      </c>
      <c r="C81" s="5" t="inlineStr">
        <is>
          <t>АКЦИОНЕРНОЕ ОБЩЕСТВО "ИНФОСИСТЕМЫ ДЖЕТ"</t>
        </is>
      </c>
      <c r="D81" s="5" t="inlineStr">
        <is>
          <t>действующее</t>
        </is>
      </c>
      <c r="E81" s="5" t="inlineStr">
        <is>
          <t>ИВАНОВ ГЕННАДИЙ ИВАНОВИЧ</t>
        </is>
      </c>
      <c r="F81" s="5" t="inlineStr">
        <is>
          <t>7729058675</t>
        </is>
      </c>
      <c r="G81" s="5" t="inlineStr">
        <is>
          <t>1027700121195</t>
        </is>
      </c>
      <c r="H81" s="5" t="inlineStr">
        <is>
          <t>+7 (495) 411-76-01</t>
        </is>
      </c>
      <c r="I81" s="5" t="inlineStr">
        <is>
          <t>cbosamara@mail.ru, lolife@yandex.ru, ov.filatova@jet.msk.su, ov.filatova@jet.su, shurkina@jet.msk.s</t>
        </is>
      </c>
      <c r="J81" s="5" t="inlineStr">
        <is>
          <t>http://jet.msk.su</t>
        </is>
      </c>
      <c r="K81" s="5" t="inlineStr">
        <is>
          <t>127015, Г.МОСКВА, УЛ БОЛЬШАЯ НОВОДМИТРОВСКАЯ, Д. 14, СТР. 2, ЭТ 6 КОМ 13 ОФ 2.654</t>
        </is>
      </c>
      <c r="L81" s="6" t="n">
        <v>827</v>
      </c>
      <c r="M81" s="6" t="n">
        <v>36715500</v>
      </c>
      <c r="N81" s="6" t="n">
        <v>2284200</v>
      </c>
      <c r="O81" s="6" t="n">
        <v>5759340</v>
      </c>
      <c r="P81" s="5"/>
      <c r="Q81" s="5"/>
    </row>
    <row collapsed="false" customFormat="false" customHeight="false" hidden="false" ht="12.1" outlineLevel="0" r="82">
      <c r="A82" s="4" t="s">
        <f>HYPERLINK("https://www.list-org.com/company/18355","https://www.list-org.com/company/18355")</f>
      </c>
      <c r="B82" s="5" t="inlineStr">
        <is>
          <t>ООО "НПП "ГАРАНТ-СЕРВИС-УНИВЕРСИТЕТ"</t>
        </is>
      </c>
      <c r="C82" s="5" t="inlineStr">
        <is>
          <t>ОБЩЕСТВО С ОГРАНИЧЕННОЙ ОТВЕТСТВЕННОСТЬЮ "НАУЧНО-ПРОИЗВОДСТВЕННОЕ ПРЕДПРИЯТИЕ "ГАРАНТ-СЕРВИС-УНИВЕРСИТЕТ"</t>
        </is>
      </c>
      <c r="D82" s="5" t="inlineStr">
        <is>
          <t>действующее</t>
        </is>
      </c>
      <c r="E82" s="5" t="inlineStr">
        <is>
          <t>ШАМАНОВ ЕВГЕНИЙ ВЯЧЕСЛАВОВИЧ</t>
        </is>
      </c>
      <c r="F82" s="5" t="inlineStr">
        <is>
          <t>7706131706</t>
        </is>
      </c>
      <c r="G82" s="5" t="inlineStr">
        <is>
          <t>1027700558225</t>
        </is>
      </c>
      <c r="H82" s="5" t="inlineStr">
        <is>
          <t>+7 (495) 930-81-50</t>
        </is>
      </c>
      <c r="I82" s="5" t="inlineStr">
        <is>
          <t>marina.kuznetsova@garant.ru</t>
        </is>
      </c>
      <c r="J82" s="5"/>
      <c r="K82" s="5" t="inlineStr">
        <is>
          <t>119234, Г.МОСКВА, МУНИЦИПАЛЬНЫЙ ОКРУГ РАМЕНКИ, ТЕР ЛЕНИНСКИЕ ГОРЫ, Д. 1,СТР. 77, СТР. 77, КОМ. 22, ЭТАЖ 4</t>
        </is>
      </c>
      <c r="L82" s="6" t="n">
        <v>805</v>
      </c>
      <c r="M82" s="6" t="n">
        <v>2167940</v>
      </c>
      <c r="N82" s="6" t="n">
        <v>57638</v>
      </c>
      <c r="O82" s="6" t="n">
        <v>534570</v>
      </c>
      <c r="P82" s="5"/>
      <c r="Q82" s="5"/>
    </row>
    <row collapsed="false" customFormat="false" customHeight="false" hidden="false" ht="12.1" outlineLevel="0" r="83">
      <c r="A83" s="4" t="s">
        <f>HYPERLINK("https://www.list-org.com/company/9640888","https://www.list-org.com/company/9640888")</f>
      </c>
      <c r="B83" s="5" t="inlineStr">
        <is>
          <t>ООО "ТЕХНОЛОГИИ 211"</t>
        </is>
      </c>
      <c r="C83" s="5" t="inlineStr">
        <is>
          <t>ОБЩЕСТВО С ОГРАНИЧЕННОЙ ОТВЕТСТВЕННОСТЬЮ "ТЕХНОЛОГИИ 211"</t>
        </is>
      </c>
      <c r="D83" s="5" t="inlineStr">
        <is>
          <t>действующее</t>
        </is>
      </c>
      <c r="E83" s="5" t="inlineStr">
        <is>
          <t>МОЛЧАНОВ АРТЕМ МИХАЙЛОВИЧ</t>
        </is>
      </c>
      <c r="F83" s="5" t="inlineStr">
        <is>
          <t>7704389192</t>
        </is>
      </c>
      <c r="G83" s="5" t="inlineStr">
        <is>
          <t>1177746073328</t>
        </is>
      </c>
      <c r="H83" s="5" t="inlineStr">
        <is>
          <t>+7 (495) 739-70-00</t>
        </is>
      </c>
      <c r="I83" s="5" t="inlineStr">
        <is>
          <t>legal_lac@yandex-team.ru</t>
        </is>
      </c>
      <c r="J83" s="5"/>
      <c r="K83" s="5" t="inlineStr">
        <is>
          <t>123100, МОСКВА ГОРОД, ПРОЕЗД КРАСНОГВАРДЕЙСКИЙ 1-Й, Д. 21, СТР. 1, ПОМЕЩ. 35.34 ЭТАЖ 35</t>
        </is>
      </c>
      <c r="L83" s="6" t="n">
        <v>802</v>
      </c>
      <c r="M83" s="6" t="n">
        <v>8203430</v>
      </c>
      <c r="N83" s="6" t="n">
        <v>675756</v>
      </c>
      <c r="O83" s="6" t="n">
        <v>2515490</v>
      </c>
      <c r="P83" s="5"/>
      <c r="Q83" s="5"/>
    </row>
    <row collapsed="false" customFormat="false" customHeight="false" hidden="false" ht="12.1" outlineLevel="0" r="84">
      <c r="A84" s="4" t="s">
        <f>HYPERLINK("https://www.list-org.com/company/7217896","https://www.list-org.com/company/7217896")</f>
      </c>
      <c r="B84" s="5" t="inlineStr">
        <is>
          <t>ООО "НЛМК-Информационные технологии"</t>
        </is>
      </c>
      <c r="C84" s="5" t="inlineStr">
        <is>
          <t>ОБЩЕСТВО С ОГРАНИЧЕННОЙ ОТВЕТСТВЕННОСТЬЮ "НЛМК-Информационные технологии"</t>
        </is>
      </c>
      <c r="D84" s="5" t="inlineStr">
        <is>
          <t>действующее</t>
        </is>
      </c>
      <c r="E84" s="5" t="inlineStr">
        <is>
          <t>ХАРИТОНОВ ДЕНИС СЕРГЕЕВИЧ</t>
        </is>
      </c>
      <c r="F84" s="5" t="inlineStr">
        <is>
          <t>4823055193</t>
        </is>
      </c>
      <c r="G84" s="5" t="inlineStr">
        <is>
          <t>1124823012500</t>
        </is>
      </c>
      <c r="H84" s="5" t="inlineStr">
        <is>
          <t>+7 (909) 223-21-42</t>
        </is>
      </c>
      <c r="I84" s="5" t="inlineStr">
        <is>
          <t>sp-it@nlmk.com, antimonova_ee@nlmk.com, borovskih_vf@cscentr.com, buganova_yv@cscentr.com, vasilevich_tf@cscenter.com</t>
        </is>
      </c>
      <c r="J84" s="5"/>
      <c r="K84" s="5" t="inlineStr">
        <is>
          <t>398040, ЛИПЕЦКАЯ ОБЛАСТЬ, Г ЛИПЕЦК, ПЛ МЕТАЛЛУРГОВ, Д. 2, ПОМЕЩ. 201АБКЭП</t>
        </is>
      </c>
      <c r="L84" s="6" t="n">
        <v>800</v>
      </c>
      <c r="M84" s="6" t="n">
        <v>4783100</v>
      </c>
      <c r="N84" s="6" t="n">
        <v>234270</v>
      </c>
      <c r="O84" s="6" t="n">
        <v>325520</v>
      </c>
      <c r="P84" s="5"/>
      <c r="Q84" s="5"/>
    </row>
    <row collapsed="false" customFormat="false" customHeight="false" hidden="false" ht="12.1" outlineLevel="0" r="85">
      <c r="A85" s="4" t="s">
        <f>HYPERLINK("https://www.list-org.com/company/11613432","https://www.list-org.com/company/11613432")</f>
      </c>
      <c r="B85" s="5" t="inlineStr">
        <is>
          <t>ООО "ПИК ТЕХНОЛОГИИ"</t>
        </is>
      </c>
      <c r="C85" s="5" t="inlineStr">
        <is>
          <t>ОБЩЕСТВО С ОГРАНИЧЕННОЙ ОТВЕТСТВЕННОСТЬЮ "ПИК ТЕХНОЛОГИИ"</t>
        </is>
      </c>
      <c r="D85" s="5" t="inlineStr">
        <is>
          <t>действующее</t>
        </is>
      </c>
      <c r="E85" s="5" t="inlineStr">
        <is>
          <t>ДУХОВНЫЙ ГЕННАДИЙ ЛАЗАРЕВИЧ</t>
        </is>
      </c>
      <c r="F85" s="5" t="inlineStr">
        <is>
          <t>7703437171</t>
        </is>
      </c>
      <c r="G85" s="5" t="inlineStr">
        <is>
          <t>5177746212452</t>
        </is>
      </c>
      <c r="H85" s="5" t="inlineStr">
        <is>
          <t>+7 (495) 505-97-33</t>
        </is>
      </c>
      <c r="I85" s="5" t="inlineStr">
        <is>
          <t>blokhinass@pik.ru</t>
        </is>
      </c>
      <c r="J85" s="5"/>
      <c r="K85" s="5" t="inlineStr">
        <is>
          <t>123242, Г.МОСКВА, УЛ. БАРРИКАДНАЯ, Д. 19, СТР. 1, ЭТ/ПОМ/КОМ 3/II/8</t>
        </is>
      </c>
      <c r="L85" s="6" t="n">
        <v>792</v>
      </c>
      <c r="M85" s="6" t="n">
        <v>2972570</v>
      </c>
      <c r="N85" s="6" t="n">
        <v>-153188</v>
      </c>
      <c r="O85" s="6" t="n">
        <v>-20611</v>
      </c>
      <c r="P85" s="5"/>
      <c r="Q85" s="5"/>
    </row>
    <row collapsed="false" customFormat="false" customHeight="false" hidden="false" ht="12.1" outlineLevel="0" r="86">
      <c r="A86" s="4" t="s">
        <f>HYPERLINK("https://www.list-org.com/company/14609","https://www.list-org.com/company/14609")</f>
      </c>
      <c r="B86" s="5" t="inlineStr">
        <is>
          <t>ФГУП "НИИ "КВАНТ"</t>
        </is>
      </c>
      <c r="C86" s="5" t="inlineStr">
        <is>
          <t>ФЕДЕРАЛЬНОЕ ГОСУДАРСТВЕННОЕ УНИТАРНОЕ ПРЕДПРИЯТИЕ "НАУЧНО-ИССЛЕДОВАТЕЛЬСКИЙ ИНСТИТУТ "КВАНТ"</t>
        </is>
      </c>
      <c r="D86" s="5" t="inlineStr">
        <is>
          <t>действующее</t>
        </is>
      </c>
      <c r="E86" s="5" t="inlineStr">
        <is>
          <t>ДИРЕКТОР ЕЛИЗАРОВ ГЕОРГИЙ СЕРГЕЕВИЧ</t>
        </is>
      </c>
      <c r="F86" s="5" t="inlineStr">
        <is>
          <t>7711000890</t>
        </is>
      </c>
      <c r="G86" s="5" t="inlineStr">
        <is>
          <t>1027739824254</t>
        </is>
      </c>
      <c r="H86" s="5" t="inlineStr">
        <is>
          <t>+7 (495) 154-80-21</t>
        </is>
      </c>
      <c r="I86" s="5"/>
      <c r="J86" s="5" t="inlineStr">
        <is>
          <t>http://rdi-kvant.ru</t>
        </is>
      </c>
      <c r="K86" s="5" t="inlineStr">
        <is>
          <t>125438, Г.МОСКВА, ПЕР. 4-Й ЛИХАЧЁВСКИЙ, Д. 15</t>
        </is>
      </c>
      <c r="L86" s="6" t="n">
        <v>787</v>
      </c>
      <c r="M86" s="6" t="n">
        <v>3386780</v>
      </c>
      <c r="N86" s="6" t="n">
        <v>46771</v>
      </c>
      <c r="O86" s="6" t="n">
        <v>1334840</v>
      </c>
      <c r="P86" s="5"/>
      <c r="Q86" s="5"/>
    </row>
    <row collapsed="false" customFormat="false" customHeight="false" hidden="false" ht="12.1" outlineLevel="0" r="87">
      <c r="A87" s="4" t="s">
        <f>HYPERLINK("https://www.list-org.com/company/164058","https://www.list-org.com/company/164058")</f>
      </c>
      <c r="B87" s="5" t="inlineStr">
        <is>
          <t>ООО "ТАКСКОМ"</t>
        </is>
      </c>
      <c r="C87" s="5" t="inlineStr">
        <is>
          <t>ОБЩЕСТВО С ОГРАНИЧЕННОЙ ОТВЕТСТВЕННОСТЬЮ "ТАКСКОМ"</t>
        </is>
      </c>
      <c r="D87" s="5" t="inlineStr">
        <is>
          <t>действующее</t>
        </is>
      </c>
      <c r="E87" s="5" t="inlineStr">
        <is>
          <t>ЭЛЬЧИЯН АРМЕН РАДИКОВИЧ</t>
        </is>
      </c>
      <c r="F87" s="5" t="inlineStr">
        <is>
          <t>7704211201</t>
        </is>
      </c>
      <c r="G87" s="5" t="inlineStr">
        <is>
          <t>1027700071530</t>
        </is>
      </c>
      <c r="H87" s="5" t="inlineStr">
        <is>
          <t>+7 (495) 730-73-47</t>
        </is>
      </c>
      <c r="I87" s="5" t="inlineStr">
        <is>
          <t>taxcom@taxcom.ru</t>
        </is>
      </c>
      <c r="J87" s="5" t="inlineStr">
        <is>
          <t>https://taxcom.ru</t>
        </is>
      </c>
      <c r="K87" s="5" t="inlineStr">
        <is>
          <t>119034, МОСКВА ГОРОД, ПЕР. БАРЫКОВСКИЙ, Д.4, СТР.2</t>
        </is>
      </c>
      <c r="L87" s="6" t="n">
        <v>775</v>
      </c>
      <c r="M87" s="6" t="n">
        <v>2591680</v>
      </c>
      <c r="N87" s="6" t="n">
        <v>43666</v>
      </c>
      <c r="O87" s="6" t="n">
        <v>2069060</v>
      </c>
      <c r="P87" s="5"/>
      <c r="Q87" s="5"/>
    </row>
    <row collapsed="false" customFormat="false" customHeight="false" hidden="false" ht="12.1" outlineLevel="0" r="88">
      <c r="A88" s="4" t="s">
        <f>HYPERLINK("https://www.list-org.com/company/601565","https://www.list-org.com/company/601565")</f>
      </c>
      <c r="B88" s="5" t="inlineStr">
        <is>
          <t>ООО "СИГМА"</t>
        </is>
      </c>
      <c r="C88" s="5" t="inlineStr">
        <is>
          <t>ОБЩЕСТВО С ОГРАНИЧЕННОЙ ОТВЕТСТВЕННОСТЬЮ "СИГМА"</t>
        </is>
      </c>
      <c r="D88" s="5" t="inlineStr">
        <is>
          <t>действующее</t>
        </is>
      </c>
      <c r="E88" s="5" t="inlineStr">
        <is>
          <t>ОДИНЦОВ ЕВГЕНИЙ АЛЕКСАНДРОВИЧ</t>
        </is>
      </c>
      <c r="F88" s="5" t="inlineStr">
        <is>
          <t>7801378904</t>
        </is>
      </c>
      <c r="G88" s="5" t="inlineStr">
        <is>
          <t>1057810224086</t>
        </is>
      </c>
      <c r="H88" s="5" t="inlineStr">
        <is>
          <t>+7 (812) 602-27-72</t>
        </is>
      </c>
      <c r="I88" s="5" t="inlineStr">
        <is>
          <t>info@sigma-it.ru</t>
        </is>
      </c>
      <c r="J88" s="5" t="inlineStr">
        <is>
          <t>www.sigma-it.ru</t>
        </is>
      </c>
      <c r="K88" s="5" t="inlineStr">
        <is>
          <t>195009, САНКТ-ПЕТЕРБУРГ ГОРОД, НАБ. СВЕРДЛОВСКАЯ, Д.4, ЛИТЕР Б</t>
        </is>
      </c>
      <c r="L88" s="6" t="n">
        <v>766</v>
      </c>
      <c r="M88" s="6" t="n">
        <v>5099160</v>
      </c>
      <c r="N88" s="6" t="n">
        <v>789497</v>
      </c>
      <c r="O88" s="6" t="n">
        <v>3209880</v>
      </c>
      <c r="P88" s="5"/>
      <c r="Q88" s="5"/>
    </row>
    <row collapsed="false" customFormat="false" customHeight="false" hidden="false" ht="12.1" outlineLevel="0" r="89">
      <c r="A89" s="4" t="s">
        <f>HYPERLINK("https://www.list-org.com/company/11990006","https://www.list-org.com/company/11990006")</f>
      </c>
      <c r="B89" s="5" t="inlineStr">
        <is>
          <t>ООО "ГЛОУБАЙТ АНАЛИТИЧЕСКИЕ РЕШЕНИЯ"</t>
        </is>
      </c>
      <c r="C89" s="5" t="inlineStr">
        <is>
          <t>ОБЩЕСТВО С ОГРАНИЧЕННОЙ ОТВЕТСТВЕННОСТЬЮ "ГЛОУБАЙТ АНАЛИТИЧЕСКИЕ РЕШЕНИЯ"</t>
        </is>
      </c>
      <c r="D89" s="5" t="inlineStr">
        <is>
          <t>действующее</t>
        </is>
      </c>
      <c r="E89" s="5" t="inlineStr">
        <is>
          <t>УПРАВЛЯЮЩАЯ КОМПАНИЯ ОБЩЕСТВО С ОГРАНИЧЕННОЙ ОТВЕТСТВЕННОСТЬЮ "УПРАВЛЯЮЩАЯ КОМПАНИЯ ГЛОУБАЙТ"</t>
        </is>
      </c>
      <c r="F89" s="5" t="inlineStr">
        <is>
          <t>9729274905</t>
        </is>
      </c>
      <c r="G89" s="5" t="inlineStr">
        <is>
          <t>1187746804794</t>
        </is>
      </c>
      <c r="H89" s="5"/>
      <c r="I89" s="5" t="inlineStr">
        <is>
          <t>buh@glowbyteconsulting.com</t>
        </is>
      </c>
      <c r="J89" s="5"/>
      <c r="K89" s="5" t="inlineStr">
        <is>
          <t>119530, Г.МОСКВА, МУНИЦИПАЛЬНЫЙ ОКРУГ ОЧАКОВО-МАТВЕЕВСКОЕ, Ш. ОЧАКОВСКОЕ, Д. 28,СТР. 2, СТР. 2, ПОМЕЩ. 6Н/5</t>
        </is>
      </c>
      <c r="L89" s="6" t="n">
        <v>764</v>
      </c>
      <c r="M89" s="6" t="n">
        <v>3086080</v>
      </c>
      <c r="N89" s="6" t="n">
        <v>16587</v>
      </c>
      <c r="O89" s="6" t="n">
        <v>1067620</v>
      </c>
      <c r="P89" s="5"/>
      <c r="Q89" s="5"/>
    </row>
    <row collapsed="false" customFormat="false" customHeight="false" hidden="false" ht="12.1" outlineLevel="0" r="90">
      <c r="A90" s="4" t="s">
        <f>HYPERLINK("https://www.list-org.com/company/5718543","https://www.list-org.com/company/5718543")</f>
      </c>
      <c r="B90" s="5" t="inlineStr">
        <is>
          <t>ООО "КОРУС КОНСАЛТИНГ СРМ"</t>
        </is>
      </c>
      <c r="C90" s="5" t="inlineStr">
        <is>
          <t>ОБЩЕСТВО С ОГРАНИЧЕННОЙ ОТВЕТСТВЕННОСТЬЮ "КОРУС КОНСАЛТИНГ СРМ"</t>
        </is>
      </c>
      <c r="D90" s="5" t="inlineStr">
        <is>
          <t>действующее</t>
        </is>
      </c>
      <c r="E90" s="5" t="inlineStr">
        <is>
          <t>СЕМЕНОВ АЛЕКСАНДР ВЛАДИМИРОВИЧ</t>
        </is>
      </c>
      <c r="F90" s="5" t="inlineStr">
        <is>
          <t>7801489298</t>
        </is>
      </c>
      <c r="G90" s="5" t="inlineStr">
        <is>
          <t>1097847031556</t>
        </is>
      </c>
      <c r="H90" s="5" t="inlineStr">
        <is>
          <t>+7 (812) 324-24-57</t>
        </is>
      </c>
      <c r="I90" s="5" t="inlineStr">
        <is>
          <t>tender@korusconsulting.ru</t>
        </is>
      </c>
      <c r="J90" s="5"/>
      <c r="K90" s="5" t="inlineStr">
        <is>
          <t>191119, Г.САНКТ-ПЕТЕРБУРГ, УЛ. МАРАТА, Д. 55/5, ЛИТЕР А, ПОМЕЩ. 5Н</t>
        </is>
      </c>
      <c r="L90" s="6" t="n">
        <v>753</v>
      </c>
      <c r="M90" s="6" t="n">
        <v>4249140</v>
      </c>
      <c r="N90" s="6" t="n">
        <v>47166</v>
      </c>
      <c r="O90" s="6" t="n">
        <v>873324</v>
      </c>
      <c r="P90" s="5"/>
      <c r="Q90" s="5"/>
    </row>
    <row collapsed="false" customFormat="false" customHeight="false" hidden="false" ht="12.1" outlineLevel="0" r="91">
      <c r="A91" s="4" t="s">
        <f>HYPERLINK("https://www.list-org.com/company/6638914","https://www.list-org.com/company/6638914")</f>
      </c>
      <c r="B91" s="5" t="inlineStr">
        <is>
          <t>ООО "ВЕНТРА ИТ РЕШЕНИЯ"</t>
        </is>
      </c>
      <c r="C91" s="5" t="inlineStr">
        <is>
          <t>ОБЩЕСТВО С ОГРАНИЧЕННОЙ ОТВЕТСТВЕННОСТЬЮ "ВЕНТРА ИТ РЕШЕНИЯ"</t>
        </is>
      </c>
      <c r="D91" s="5" t="inlineStr">
        <is>
          <t>действующее</t>
        </is>
      </c>
      <c r="E91" s="5" t="inlineStr">
        <is>
          <t>УПРАВЛЯЮЩАЯ КОМПАНИЯ ОБЩЕСТВО С ОГРАНИЧЕННОЙ ОТВЕТСТВЕННОСТЬЮ "ВЕНТРА"</t>
        </is>
      </c>
      <c r="F91" s="5" t="inlineStr">
        <is>
          <t>7702764666</t>
        </is>
      </c>
      <c r="G91" s="5" t="inlineStr">
        <is>
          <t>1117746476396</t>
        </is>
      </c>
      <c r="H91" s="5" t="inlineStr">
        <is>
          <t>+7 (495) 961-14-07</t>
        </is>
      </c>
      <c r="I91" s="5"/>
      <c r="J91" s="5"/>
      <c r="K91" s="5" t="inlineStr">
        <is>
          <t>129090, Г.МОСКВА, МУНИЦИПАЛЬНЫЙ ОКРУГ МЕЩАНСКИЙ, ПР-КТ МИРА, Д. 42, ПОМЕЩ. I КОМ. 11</t>
        </is>
      </c>
      <c r="L91" s="6" t="n">
        <v>748</v>
      </c>
      <c r="M91" s="6" t="n">
        <v>3488120</v>
      </c>
      <c r="N91" s="6" t="n">
        <v>117183</v>
      </c>
      <c r="O91" s="6" t="n">
        <v>431111</v>
      </c>
      <c r="P91" s="5"/>
      <c r="Q91" s="5"/>
    </row>
    <row collapsed="false" customFormat="false" customHeight="false" hidden="false" ht="12.1" outlineLevel="0" r="92">
      <c r="A92" s="4" t="s">
        <f>HYPERLINK("https://www.list-org.com/company/4888026","https://www.list-org.com/company/4888026")</f>
      </c>
      <c r="B92" s="5" t="inlineStr">
        <is>
          <t>ООО "АКТИОН-ДИДЖИТАЛ"</t>
        </is>
      </c>
      <c r="C92" s="5" t="inlineStr">
        <is>
          <t>ОБЩЕСТВО С ОГРАНИЧЕННОЙ ОТВЕТСТВЕННОСТЬЮ "АКТИОН-ДИДЖИТАЛ"</t>
        </is>
      </c>
      <c r="D92" s="5" t="inlineStr">
        <is>
          <t>действующее</t>
        </is>
      </c>
      <c r="E92" s="5" t="inlineStr">
        <is>
          <t>СТАРИКОВ АЛЕКСЕЙ НИКОЛАЕВИЧ</t>
        </is>
      </c>
      <c r="F92" s="5" t="inlineStr">
        <is>
          <t>7715670503</t>
        </is>
      </c>
      <c r="G92" s="5" t="inlineStr">
        <is>
          <t>1077761418624</t>
        </is>
      </c>
      <c r="H92" s="5" t="inlineStr">
        <is>
          <t>+7 (495) 788-53-21</t>
        </is>
      </c>
      <c r="I92" s="5"/>
      <c r="J92" s="5" t="inlineStr">
        <is>
          <t>http://1kadry.ru</t>
        </is>
      </c>
      <c r="K92" s="5" t="inlineStr">
        <is>
          <t>123022, Г.МОСКВА, МУНИЦИПАЛЬНЫЙ ОКРУГ ПРЕСНЕНСКИЙ, ПЕР 1-Й ЗЕМЕЛЬНЫЙ, Д. 1, КОМ. 1511А</t>
        </is>
      </c>
      <c r="L92" s="6" t="n">
        <v>746</v>
      </c>
      <c r="M92" s="6" t="n">
        <v>6129390</v>
      </c>
      <c r="N92" s="6" t="n">
        <v>3307480</v>
      </c>
      <c r="O92" s="6" t="n">
        <v>1804350</v>
      </c>
      <c r="P92" s="5"/>
      <c r="Q92" s="5"/>
    </row>
    <row collapsed="false" customFormat="false" customHeight="false" hidden="false" ht="12.1" outlineLevel="0" r="93">
      <c r="A93" s="4" t="s">
        <f>HYPERLINK("https://www.list-org.com/company/1216546","https://www.list-org.com/company/1216546")</f>
      </c>
      <c r="B93" s="5" t="inlineStr">
        <is>
          <t>АО "ИНТЕЛ А/О"</t>
        </is>
      </c>
      <c r="C93" s="5" t="inlineStr">
        <is>
          <t>АКЦИОНЕРНОЕ ОБЩЕСТВО "ИНТЕЛ А/О"</t>
        </is>
      </c>
      <c r="D93" s="5" t="inlineStr">
        <is>
          <t>действующее</t>
        </is>
      </c>
      <c r="E93" s="5" t="inlineStr">
        <is>
          <t>ШАЛАМОВ АЛЕКСАНДР ВИКТОРОВИЧ</t>
        </is>
      </c>
      <c r="F93" s="5" t="inlineStr">
        <is>
          <t>7731030797</t>
        </is>
      </c>
      <c r="G93" s="5" t="inlineStr">
        <is>
          <t>1027700021470</t>
        </is>
      </c>
      <c r="H93" s="5" t="inlineStr">
        <is>
          <t>+7 (495) 787-27-00</t>
        </is>
      </c>
      <c r="I93" s="5"/>
      <c r="J93" s="5"/>
      <c r="K93" s="5" t="inlineStr">
        <is>
          <t>107031, Г.МОСКВА, МУНИЦИПАЛЬНЫЙ ОКРУГ ТВЕРСКОЙ, УЛ ПЕТРОВКА, Д. 27, ПОМЕЩ. 1/1</t>
        </is>
      </c>
      <c r="L93" s="6" t="n">
        <v>741</v>
      </c>
      <c r="M93" s="6"/>
      <c r="N93" s="6" t="n">
        <v>-45594</v>
      </c>
      <c r="O93" s="6" t="n">
        <v>170790</v>
      </c>
      <c r="P93" s="5"/>
      <c r="Q93" s="5"/>
    </row>
    <row collapsed="false" customFormat="false" customHeight="false" hidden="false" ht="12.1" outlineLevel="0" r="94">
      <c r="A94" s="4" t="s">
        <f>HYPERLINK("https://www.list-org.com/company/65442","https://www.list-org.com/company/65442")</f>
      </c>
      <c r="B94" s="5" t="inlineStr">
        <is>
          <t>АО НИЦ "ИНКОМСИСТЕМ"</t>
        </is>
      </c>
      <c r="C94" s="5" t="inlineStr">
        <is>
          <t>АКЦИОНЕРНОЕ ОБЩЕСТВО "НАУЧНО-ИНЖЕНЕРНЫЙ ЦЕНТР "ИНКОМСИСТЕМ"</t>
        </is>
      </c>
      <c r="D94" s="5" t="inlineStr">
        <is>
          <t>действующее</t>
        </is>
      </c>
      <c r="E94" s="5" t="inlineStr">
        <is>
          <t>АКСЕНИН СЕРГЕЙ ГЕННАДЬЕВИЧ</t>
        </is>
      </c>
      <c r="F94" s="5" t="inlineStr">
        <is>
          <t>1660002574</t>
        </is>
      </c>
      <c r="G94" s="5" t="inlineStr">
        <is>
          <t>1021603619091</t>
        </is>
      </c>
      <c r="H94" s="5" t="inlineStr">
        <is>
          <t>+7 (843) 273-97-07</t>
        </is>
      </c>
      <c r="I94" s="5" t="inlineStr">
        <is>
          <t>mail@incomsystem.ru, it@incomsystem.ru</t>
        </is>
      </c>
      <c r="J94" s="5" t="inlineStr">
        <is>
          <t>www.incomsystem.ru</t>
        </is>
      </c>
      <c r="K94" s="5" t="inlineStr">
        <is>
          <t>420029, РЕСПУБЛИКА ТАТАРСТАН (ТАТАРСТАН), Г. КАЗАНЬ, УЛ. ПИОНЕРСКАЯ, Д.17</t>
        </is>
      </c>
      <c r="L94" s="6" t="n">
        <v>727</v>
      </c>
      <c r="M94" s="6" t="n">
        <v>9561310</v>
      </c>
      <c r="N94" s="6" t="n">
        <v>1977640</v>
      </c>
      <c r="O94" s="6" t="n">
        <v>4356350</v>
      </c>
      <c r="P94" s="5"/>
      <c r="Q94" s="5"/>
    </row>
    <row collapsed="false" customFormat="false" customHeight="false" hidden="false" ht="12.1" outlineLevel="0" r="95">
      <c r="A95" s="4" t="s">
        <f>HYPERLINK("https://www.list-org.com/company/5913443","https://www.list-org.com/company/5913443")</f>
      </c>
      <c r="B95" s="5" t="inlineStr">
        <is>
          <t>ООО "РУСГИДРО ИТ СЕРВИС"</t>
        </is>
      </c>
      <c r="C95" s="5" t="inlineStr">
        <is>
          <t>ОБЩЕСТВО С ОГРАНИЧЕННОЙ ОТВЕТСТВЕННОСТЬЮ "РУСГИДРО ИТ СЕРВИС"</t>
        </is>
      </c>
      <c r="D95" s="5" t="inlineStr">
        <is>
          <t>действующее</t>
        </is>
      </c>
      <c r="E95" s="5" t="inlineStr">
        <is>
          <t>СЕРГИЕНКО АЛЕКСЕЙ НИКОЛАЕВИЧ</t>
        </is>
      </c>
      <c r="F95" s="5" t="inlineStr">
        <is>
          <t>1902022558</t>
        </is>
      </c>
      <c r="G95" s="5" t="inlineStr">
        <is>
          <t>1091902000772</t>
        </is>
      </c>
      <c r="H95" s="5" t="inlineStr">
        <is>
          <t>+7 (915) 201-89-11</t>
        </is>
      </c>
      <c r="I95" s="5" t="inlineStr">
        <is>
          <t>nikonorovie@rushydro.ru, bykovvv@rushydro.ru</t>
        </is>
      </c>
      <c r="J95" s="5"/>
      <c r="K95" s="5" t="inlineStr">
        <is>
          <t>660017, Красноярский край, ГОРОДСКОЙ ОКРУГ ГОРОД КРАСНОЯРСК, Г КРАСНОЯРСК, УЛ ДУБРОВИНСКОГО, Д. 43, ПОМЕЩ. 303-6</t>
        </is>
      </c>
      <c r="L95" s="6" t="n">
        <v>725</v>
      </c>
      <c r="M95" s="6" t="n">
        <v>3689390</v>
      </c>
      <c r="N95" s="6" t="n">
        <v>585581</v>
      </c>
      <c r="O95" s="6" t="n">
        <v>1414140</v>
      </c>
      <c r="P95" s="5"/>
      <c r="Q95" s="5"/>
    </row>
    <row collapsed="false" customFormat="false" customHeight="false" hidden="false" ht="12.1" outlineLevel="0" r="96">
      <c r="A96" s="4" t="s">
        <f>HYPERLINK("https://www.list-org.com/company/12442131","https://www.list-org.com/company/12442131")</f>
      </c>
      <c r="B96" s="5" t="inlineStr">
        <is>
          <t>ООО "АЛРОСА ИТ"</t>
        </is>
      </c>
      <c r="C96" s="5" t="inlineStr">
        <is>
          <t>ОБЩЕСТВО С ОГРАНИЧЕННОЙ ОТВЕТСТВЕННОСТЬЮ "АЛРОСА ИНФОРМАЦИОННЫЕ ТЕХНОЛОГИИ"</t>
        </is>
      </c>
      <c r="D96" s="5" t="inlineStr">
        <is>
          <t>действующее</t>
        </is>
      </c>
      <c r="E96" s="5" t="inlineStr">
        <is>
          <t>ВАЛОВ АЛЕКСАНДР ГРИГОРЬЕВИЧ</t>
        </is>
      </c>
      <c r="F96" s="5" t="inlineStr">
        <is>
          <t>5407976532</t>
        </is>
      </c>
      <c r="G96" s="5" t="inlineStr">
        <is>
          <t>1195476078258</t>
        </is>
      </c>
      <c r="H96" s="5" t="inlineStr">
        <is>
          <t>+7 (495) 620-92-50</t>
        </is>
      </c>
      <c r="I96" s="5" t="inlineStr">
        <is>
          <t>ait_info@alrosa.ru, anisimovayuv@alrosa.ru, ait-pgu@alrosa.ru, antipinaam@alrosa.ru</t>
        </is>
      </c>
      <c r="J96" s="5"/>
      <c r="K96" s="5" t="inlineStr">
        <is>
          <t>630007, НОВОСИБИРСКАЯ ОБЛАСТЬ, Г. НОВОСИБИРСК, УЛ. СОВЕТСКАЯ, Д. 5, ЭТАЖ 6</t>
        </is>
      </c>
      <c r="L96" s="6" t="n">
        <v>715</v>
      </c>
      <c r="M96" s="6" t="n">
        <v>2803980</v>
      </c>
      <c r="N96" s="6" t="n">
        <v>109769</v>
      </c>
      <c r="O96" s="6" t="n">
        <v>143219</v>
      </c>
      <c r="P96" s="5"/>
      <c r="Q96" s="5"/>
    </row>
    <row collapsed="false" customFormat="false" customHeight="false" hidden="false" ht="12.1" outlineLevel="0" r="97">
      <c r="A97" s="4" t="s">
        <f>HYPERLINK("https://www.list-org.com/company/973887","https://www.list-org.com/company/973887")</f>
      </c>
      <c r="B97" s="5" t="inlineStr">
        <is>
          <t>ООО "УМНОЕ ПРОСТРАНСТВО"</t>
        </is>
      </c>
      <c r="C97" s="5" t="inlineStr">
        <is>
          <t>ОБЩЕСТВО С ОГРАНИЧЕННОЙ ОТВЕТСТВЕННОСТЬЮ "УМНОЕ ПРОСТРАНСТВО"</t>
        </is>
      </c>
      <c r="D97" s="5" t="inlineStr">
        <is>
          <t>действующее</t>
        </is>
      </c>
      <c r="E97" s="5" t="inlineStr">
        <is>
          <t>КЛИМОВ ЕВГЕНИЙ ВЯЧЕСЛАВОВИЧ</t>
        </is>
      </c>
      <c r="F97" s="5" t="inlineStr">
        <is>
          <t>7811554010</t>
        </is>
      </c>
      <c r="G97" s="5" t="inlineStr">
        <is>
          <t>1137847232852</t>
        </is>
      </c>
      <c r="H97" s="5" t="inlineStr">
        <is>
          <t>+7 (952) 279-42-46</t>
        </is>
      </c>
      <c r="I97" s="5"/>
      <c r="J97" s="5"/>
      <c r="K97" s="5" t="inlineStr">
        <is>
          <t>121087, Г.МОСКВА, ВНУТРИГОРОДСКАЯ ТЕРРИТОРИЯ ГОРОДА ФЕДЕРАЛЬНОГО ЗНАЧЕНИЯ МУНИЦИПАЛЬНЫЙ ОКРУГ ФИЛЕВСКИЙ ПАРК, УЛ БАРКЛАЯ, Д. 6, ПОМЕЩ. 8/1/28</t>
        </is>
      </c>
      <c r="L97" s="6" t="n">
        <v>706</v>
      </c>
      <c r="M97" s="6" t="n">
        <v>1189600</v>
      </c>
      <c r="N97" s="6" t="n">
        <v>-1046280</v>
      </c>
      <c r="O97" s="6" t="n">
        <v>8039970</v>
      </c>
      <c r="P97" s="5"/>
      <c r="Q97" s="5"/>
    </row>
    <row collapsed="false" customFormat="false" customHeight="false" hidden="false" ht="12.1" outlineLevel="0" r="98">
      <c r="A98" s="4" t="s">
        <f>HYPERLINK("https://www.list-org.com/company/9761599","https://www.list-org.com/company/9761599")</f>
      </c>
      <c r="B98" s="5" t="inlineStr">
        <is>
          <t>ООО "ЯНДЕКС ФАНТЕХ"</t>
        </is>
      </c>
      <c r="C98" s="5" t="inlineStr">
        <is>
          <t>ОБЩЕСТВО С ОГРАНИЧЕННОЙ ОТВЕТСТВЕННОСТЬЮ "ЯНДЕКС ФАНТЕХ"</t>
        </is>
      </c>
      <c r="D98" s="5" t="inlineStr">
        <is>
          <t>действующее</t>
        </is>
      </c>
      <c r="E98" s="5" t="inlineStr">
        <is>
          <t>БУЛАЕВ АЛЕКСАНДР МИХАЙЛОВИЧ</t>
        </is>
      </c>
      <c r="F98" s="5" t="inlineStr">
        <is>
          <t>7704403295</t>
        </is>
      </c>
      <c r="G98" s="5" t="inlineStr">
        <is>
          <t>1177746353685</t>
        </is>
      </c>
      <c r="H98" s="5" t="inlineStr">
        <is>
          <t>+7 (495) 739-70-00</t>
        </is>
      </c>
      <c r="I98" s="5" t="inlineStr">
        <is>
          <t>register-yandex@yandex-team.ru</t>
        </is>
      </c>
      <c r="J98" s="5"/>
      <c r="K98" s="5" t="inlineStr">
        <is>
          <t>115035, Г.МОСКВА, УЛ САДОВНИЧЕСКАЯ, Д. 82, СТР. 2, ПОМЕЩ. 9А01</t>
        </is>
      </c>
      <c r="L98" s="6" t="n">
        <v>703</v>
      </c>
      <c r="M98" s="6" t="n">
        <v>8183510</v>
      </c>
      <c r="N98" s="6" t="n">
        <v>-122665</v>
      </c>
      <c r="O98" s="6" t="n">
        <v>544366</v>
      </c>
      <c r="P98" s="5"/>
      <c r="Q98" s="5"/>
    </row>
    <row collapsed="false" customFormat="false" customHeight="false" hidden="false" ht="12.1" outlineLevel="0" r="99">
      <c r="A99" s="4" t="s">
        <f>HYPERLINK("https://www.list-org.com/company/1296298","https://www.list-org.com/company/1296298")</f>
      </c>
      <c r="B99" s="5" t="inlineStr">
        <is>
          <t>АО "НПК "ВТ И СС"</t>
        </is>
      </c>
      <c r="C99" s="5" t="inlineStr">
        <is>
          <t>АКЦИОНЕРНОЕ ОБЩЕСТВО "НАУЧНО-ПРОМЫШЛЕННАЯ КОМПАНИЯ "ВЫСОКИЕ ТЕХНОЛОГИИ И СТРАТЕГИЧЕСКИЕ СИСТЕМЫ"</t>
        </is>
      </c>
      <c r="D99" s="5" t="inlineStr">
        <is>
          <t>действующее</t>
        </is>
      </c>
      <c r="E99" s="5" t="inlineStr">
        <is>
          <t>ЛЕВЧЕНКО ТИМОФЕЙ ЮРЬЕВИЧ</t>
        </is>
      </c>
      <c r="F99" s="5" t="inlineStr">
        <is>
          <t>7713211631</t>
        </is>
      </c>
      <c r="G99" s="5" t="inlineStr">
        <is>
          <t>1037739175935</t>
        </is>
      </c>
      <c r="H99" s="5" t="inlineStr">
        <is>
          <t>+7 (495) 962-60-04</t>
        </is>
      </c>
      <c r="I99" s="5" t="inlineStr">
        <is>
          <t>tender@htsts.ru</t>
        </is>
      </c>
      <c r="J99" s="5"/>
      <c r="K99" s="5" t="inlineStr">
        <is>
          <t>125130, Г.МОСКВА, МУНИЦИПАЛЬНЫЙ ОКРУГ ВОЙКОВСКИЙ, ПРОЕЗД СТАРОПЕТРОВСКИЙ, Д. 7А,СТР. 30, СТР. 30</t>
        </is>
      </c>
      <c r="L99" s="6" t="n">
        <v>702</v>
      </c>
      <c r="M99" s="6" t="n">
        <v>1354880</v>
      </c>
      <c r="N99" s="6" t="n">
        <v>-418525</v>
      </c>
      <c r="O99" s="6" t="n">
        <v>1328070</v>
      </c>
      <c r="P99" s="5"/>
      <c r="Q99" s="5"/>
    </row>
    <row collapsed="false" customFormat="false" customHeight="false" hidden="false" ht="12.1" outlineLevel="0" r="100">
      <c r="A100" s="4" t="s">
        <f>HYPERLINK("https://www.list-org.com/company/4310113","https://www.list-org.com/company/4310113")</f>
      </c>
      <c r="B100" s="5" t="inlineStr">
        <is>
          <t>ЗАО "СЕРВИС-ГАЗИФИКАЦИЯ"</t>
        </is>
      </c>
      <c r="C100" s="5" t="inlineStr">
        <is>
          <t>ЗАКРЫТОЕ АКЦИОНЕРНОЕ ОБЩЕСТВО "СЕРВИС-ГАЗИФИКАЦИЯ"</t>
        </is>
      </c>
      <c r="D100" s="5" t="inlineStr">
        <is>
          <t>действующее</t>
        </is>
      </c>
      <c r="E100" s="5" t="inlineStr">
        <is>
          <t>ГИЛЬМАНОВ МИХАИЛ ХАЙРУЛЛОВИЧ</t>
        </is>
      </c>
      <c r="F100" s="5" t="inlineStr">
        <is>
          <t>6671228290</t>
        </is>
      </c>
      <c r="G100" s="5" t="inlineStr">
        <is>
          <t>1076671020690</t>
        </is>
      </c>
      <c r="H100" s="5" t="inlineStr">
        <is>
          <t>+7 (343) 235-04-77</t>
        </is>
      </c>
      <c r="I100" s="5" t="inlineStr">
        <is>
          <t>office@sgaz.pro</t>
        </is>
      </c>
      <c r="J100" s="5"/>
      <c r="K100" s="5" t="inlineStr">
        <is>
          <t>620146, СВЕРДЛОВСКАЯ ОБЛАСТЬ, ГОРОД ЕКАТЕРИНБУРГ, УЛИЦА АМУНДСЕНА, Д. 59, КВ. 15</t>
        </is>
      </c>
      <c r="L100" s="6" t="n">
        <v>694</v>
      </c>
      <c r="M100" s="6" t="n">
        <v>2413370</v>
      </c>
      <c r="N100" s="6" t="n">
        <v>33446</v>
      </c>
      <c r="O100" s="6" t="n">
        <v>2043150</v>
      </c>
      <c r="P100" s="5"/>
      <c r="Q100" s="5"/>
    </row>
    <row collapsed="false" customFormat="false" customHeight="false" hidden="false" ht="12.1" outlineLevel="0" r="101">
      <c r="A101" s="4" t="s">
        <f>HYPERLINK("https://www.list-org.com/company/6137787","https://www.list-org.com/company/6137787")</f>
      </c>
      <c r="B101" s="5" t="inlineStr">
        <is>
          <t>ООО "РОКИТСОФТ"</t>
        </is>
      </c>
      <c r="C101" s="5" t="inlineStr">
        <is>
          <t>ОБЩЕСТВО С ОГРАНИЧЕННОЙ ОТВЕТСТВЕННОСТЬЮ "РОКИТСОФТ"</t>
        </is>
      </c>
      <c r="D101" s="5" t="inlineStr">
        <is>
          <t>действующее</t>
        </is>
      </c>
      <c r="E101" s="5" t="inlineStr">
        <is>
          <t>Шаховский Станислав Станиславович</t>
        </is>
      </c>
      <c r="F101" s="5" t="inlineStr">
        <is>
          <t>7709849809</t>
        </is>
      </c>
      <c r="G101" s="5" t="inlineStr">
        <is>
          <t>1107746193202</t>
        </is>
      </c>
      <c r="H101" s="5"/>
      <c r="I101" s="5"/>
      <c r="J101" s="5"/>
      <c r="K101" s="5" t="inlineStr">
        <is>
          <t>119021, Г.МОСКВА, ВНУТРИГОРОДСКАЯ ТЕРРИТОРИЯ ГОРОДА ФЕДЕРАЛЬНОГО ЗНАЧЕНИЯ МУНИЦИПАЛЬНЫЙ ОКРУГ ХАМОВНИКИ, Б-Р ЗУБОВСКИЙ, Д. 13, ПОМЕЩ. 1/4</t>
        </is>
      </c>
      <c r="L101" s="6" t="n">
        <v>692</v>
      </c>
      <c r="M101" s="6" t="n">
        <v>5936430</v>
      </c>
      <c r="N101" s="6" t="n">
        <v>716915</v>
      </c>
      <c r="O101" s="6" t="n">
        <v>1662650</v>
      </c>
      <c r="P101" s="5"/>
      <c r="Q101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2025-12-10T16:54:31.00Z</dcterms:created>
  <dc:title/>
  <dc:subject/>
  <dc:creator/>
  <dc:description/>
  <cp:revision>0</cp:revision>
</cp:coreProperties>
</file>